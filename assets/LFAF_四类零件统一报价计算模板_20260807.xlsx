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12" tabRatio="600" firstSheet="0" activeTab="5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统一汇总" sheetId="2" state="visible" r:id="rId2"/>
    <sheet xmlns:r="http://schemas.openxmlformats.org/officeDocument/2006/relationships" name="加工件" sheetId="3" state="visible" r:id="rId3"/>
    <sheet xmlns:r="http://schemas.openxmlformats.org/officeDocument/2006/relationships" name="钣金件" sheetId="4" state="visible" r:id="rId4"/>
    <sheet xmlns:r="http://schemas.openxmlformats.org/officeDocument/2006/relationships" name="焊接件" sheetId="5" state="visible" r:id="rId5"/>
    <sheet xmlns:r="http://schemas.openxmlformats.org/officeDocument/2006/relationships" name="型材组装件" sheetId="6" state="visible" r:id="rId6"/>
    <sheet xmlns:r="http://schemas.openxmlformats.org/officeDocument/2006/relationships" name="基础参数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0"/>
    <numFmt numFmtId="166" formatCode="0.000"/>
    <numFmt numFmtId="167" formatCode="0.00%;[Red]\-0.00%"/>
  </numFmts>
  <fonts count="14">
    <font>
      <name val="Carlito"/>
      <sz val="11"/>
    </font>
    <font>
      <name val="Microsoft YaHei"/>
      <charset val="134"/>
      <family val="2"/>
      <b val="1"/>
      <color rgb="FF1F1F1F"/>
      <sz val="20"/>
    </font>
    <font>
      <name val="Microsoft YaHei"/>
      <charset val="134"/>
      <family val="2"/>
      <b val="1"/>
      <color rgb="FF1F1F1F"/>
      <sz val="13"/>
    </font>
    <font>
      <name val="Microsoft YaHei"/>
      <charset val="134"/>
      <family val="2"/>
      <color rgb="FF1F1F1F"/>
      <sz val="10"/>
    </font>
    <font>
      <name val="Carlito"/>
      <b val="1"/>
      <color rgb="FF1F1F1F"/>
      <sz val="10"/>
    </font>
    <font>
      <name val="Microsoft YaHei"/>
      <charset val="134"/>
      <family val="2"/>
      <b val="1"/>
      <color rgb="FF1F1F1F"/>
      <sz val="9"/>
    </font>
    <font>
      <name val="Microsoft YaHei"/>
      <charset val="134"/>
      <family val="2"/>
      <color rgb="FF1F1F1F"/>
      <sz val="9"/>
    </font>
    <font>
      <name val="Carlito"/>
      <i val="1"/>
      <color rgb="FF0000FF"/>
      <sz val="11"/>
    </font>
    <font>
      <name val="Carlito"/>
      <b val="1"/>
      <color rgb="FF1F1F1F"/>
      <sz val="9"/>
    </font>
    <font>
      <name val="Microsoft YaHei"/>
      <charset val="134"/>
      <family val="2"/>
      <color rgb="FF0000FF"/>
      <sz val="9"/>
    </font>
    <font>
      <name val="Microsoft YaHei"/>
      <charset val="134"/>
      <family val="2"/>
      <b val="1"/>
      <color rgb="FF1F1F1F"/>
      <sz val="10"/>
    </font>
    <font>
      <name val="Carlito"/>
      <sz val="11"/>
    </font>
    <font>
      <name val="細明體"/>
      <charset val="136"/>
      <family val="3"/>
      <sz val="9"/>
    </font>
    <font>
      <name val="Carlito"/>
      <b val="1"/>
      <color rgb="FF1F1F1F"/>
      <sz val="11"/>
    </font>
  </fonts>
  <fills count="19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DAEEF3"/>
      </patternFill>
    </fill>
    <fill>
      <patternFill patternType="solid">
        <fgColor rgb="FF9BBB59"/>
      </patternFill>
    </fill>
    <fill>
      <patternFill patternType="solid">
        <fgColor rgb="FFFFF2CC"/>
      </patternFill>
    </fill>
    <fill>
      <patternFill patternType="solid">
        <fgColor rgb="FF92D050"/>
      </patternFill>
    </fill>
    <fill>
      <patternFill patternType="solid">
        <fgColor theme="7" tint="0.5999633777886288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theme="7"/>
      </patternFill>
    </fill>
    <fill>
      <patternFill patternType="solid">
        <fgColor rgb="FFFFFF00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9" tint="0.5999633777886288"/>
        <bgColor indexed="65"/>
      </patternFill>
    </fill>
    <fill>
      <patternFill patternType="solid">
        <fgColor theme="0" tint="-0.1499984740745262"/>
        <bgColor indexed="65"/>
      </patternFill>
    </fill>
    <fill>
      <patternFill patternType="solid">
        <fgColor rgb="FF9BBB59"/>
      </patternFill>
    </fill>
    <fill>
      <patternFill patternType="solid">
        <fgColor rgb="FFDCE6C1"/>
      </patternFill>
    </fill>
    <fill>
      <patternFill patternType="solid">
        <fgColor theme="6" tint="0.599993896298104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11" fillId="0" borderId="0"/>
    <xf numFmtId="0" fontId="11" fillId="0" borderId="0"/>
  </cellStyleXfs>
  <cellXfs count="94">
    <xf numFmtId="0" fontId="0" fillId="0" borderId="0" pivotButton="0" quotePrefix="0" xfId="0"/>
    <xf numFmtId="0" fontId="6" fillId="0" borderId="0" pivotButton="0" quotePrefix="0" xfId="1"/>
    <xf numFmtId="0" fontId="5" fillId="3" borderId="2" applyAlignment="1" pivotButton="0" quotePrefix="0" xfId="1">
      <alignment horizontal="center"/>
    </xf>
    <xf numFmtId="0" fontId="6" fillId="0" borderId="2" pivotButton="0" quotePrefix="0" xfId="1"/>
    <xf numFmtId="0" fontId="8" fillId="3" borderId="2" applyAlignment="1" pivotButton="0" quotePrefix="0" xfId="1">
      <alignment horizontal="center" vertical="center" wrapText="1"/>
    </xf>
    <xf numFmtId="0" fontId="6" fillId="4" borderId="2" applyAlignment="1" pivotButton="0" quotePrefix="0" xfId="1">
      <alignment vertical="center" wrapText="1"/>
    </xf>
    <xf numFmtId="164" fontId="6" fillId="4" borderId="2" applyAlignment="1" pivotButton="0" quotePrefix="0" xfId="1">
      <alignment vertical="center" wrapText="1"/>
    </xf>
    <xf numFmtId="4" fontId="6" fillId="4" borderId="2" applyAlignment="1" pivotButton="0" quotePrefix="0" xfId="1">
      <alignment vertical="center" wrapText="1"/>
    </xf>
    <xf numFmtId="0" fontId="3" fillId="0" borderId="0" pivotButton="0" quotePrefix="0" xfId="1"/>
    <xf numFmtId="0" fontId="10" fillId="3" borderId="2" applyAlignment="1" pivotButton="0" quotePrefix="0" xfId="1">
      <alignment horizontal="center"/>
    </xf>
    <xf numFmtId="0" fontId="3" fillId="0" borderId="2" pivotButton="0" quotePrefix="0" xfId="1"/>
    <xf numFmtId="0" fontId="10" fillId="8" borderId="2" pivotButton="0" quotePrefix="0" xfId="1"/>
    <xf numFmtId="0" fontId="10" fillId="3" borderId="3" applyAlignment="1" pivotButton="0" quotePrefix="0" xfId="1">
      <alignment horizontal="center"/>
    </xf>
    <xf numFmtId="0" fontId="3" fillId="0" borderId="3" applyAlignment="1" pivotButton="0" quotePrefix="0" xfId="1">
      <alignment wrapText="1"/>
    </xf>
    <xf numFmtId="0" fontId="3" fillId="0" borderId="3" pivotButton="0" quotePrefix="0" xfId="1"/>
    <xf numFmtId="0" fontId="3" fillId="3" borderId="3" applyAlignment="1" pivotButton="0" quotePrefix="0" xfId="1">
      <alignment wrapText="1"/>
    </xf>
    <xf numFmtId="0" fontId="3" fillId="12" borderId="3" applyAlignment="1" pivotButton="0" quotePrefix="0" xfId="1">
      <alignment wrapText="1"/>
    </xf>
    <xf numFmtId="0" fontId="3" fillId="10" borderId="3" applyAlignment="1" pivotButton="0" quotePrefix="0" xfId="1">
      <alignment wrapText="1"/>
    </xf>
    <xf numFmtId="0" fontId="3" fillId="13" borderId="3" applyAlignment="1" pivotButton="0" quotePrefix="0" xfId="1">
      <alignment wrapText="1"/>
    </xf>
    <xf numFmtId="3" fontId="3" fillId="13" borderId="2" pivotButton="0" quotePrefix="0" xfId="1"/>
    <xf numFmtId="0" fontId="3" fillId="9" borderId="3" applyAlignment="1" pivotButton="0" quotePrefix="0" xfId="1">
      <alignment wrapText="1"/>
    </xf>
    <xf numFmtId="0" fontId="9" fillId="10" borderId="2" applyAlignment="1" pivotButton="0" quotePrefix="0" xfId="1">
      <alignment vertical="center" wrapText="1"/>
    </xf>
    <xf numFmtId="4" fontId="6" fillId="13" borderId="2" applyAlignment="1" pivotButton="0" quotePrefix="0" xfId="1">
      <alignment vertical="center" wrapText="1"/>
    </xf>
    <xf numFmtId="11" fontId="6" fillId="13" borderId="2" applyAlignment="1" pivotButton="0" quotePrefix="0" xfId="1">
      <alignment vertical="center" wrapText="1"/>
    </xf>
    <xf numFmtId="4" fontId="6" fillId="14" borderId="2" applyAlignment="1" pivotButton="0" quotePrefix="0" xfId="1">
      <alignment vertical="center" wrapText="1"/>
    </xf>
    <xf numFmtId="11" fontId="6" fillId="14" borderId="2" applyAlignment="1" pivotButton="0" quotePrefix="0" xfId="1">
      <alignment vertical="center" wrapText="1"/>
    </xf>
    <xf numFmtId="165" fontId="6" fillId="14" borderId="2" applyAlignment="1" pivotButton="0" quotePrefix="0" xfId="1">
      <alignment vertical="center" wrapText="1"/>
    </xf>
    <xf numFmtId="4" fontId="9" fillId="9" borderId="2" applyAlignment="1" pivotButton="0" quotePrefix="0" xfId="1">
      <alignment vertical="center" wrapText="1"/>
    </xf>
    <xf numFmtId="4" fontId="6" fillId="10" borderId="2" applyAlignment="1" pivotButton="0" quotePrefix="0" xfId="1">
      <alignment vertical="center" wrapText="1"/>
    </xf>
    <xf numFmtId="0" fontId="9" fillId="12" borderId="2" applyAlignment="1" pivotButton="0" quotePrefix="0" xfId="1">
      <alignment vertical="center" wrapText="1"/>
    </xf>
    <xf numFmtId="0" fontId="6" fillId="10" borderId="2" applyAlignment="1" pivotButton="0" quotePrefix="0" xfId="1">
      <alignment vertical="center" wrapText="1"/>
    </xf>
    <xf numFmtId="166" fontId="6" fillId="10" borderId="2" applyAlignment="1" pivotButton="0" quotePrefix="0" xfId="1">
      <alignment vertical="center" wrapText="1"/>
    </xf>
    <xf numFmtId="164" fontId="6" fillId="10" borderId="2" applyAlignment="1" pivotButton="0" quotePrefix="0" xfId="1">
      <alignment vertical="center" wrapText="1"/>
    </xf>
    <xf numFmtId="165" fontId="6" fillId="13" borderId="2" applyAlignment="1" pivotButton="0" quotePrefix="0" xfId="1">
      <alignment vertical="center" wrapText="1"/>
    </xf>
    <xf numFmtId="0" fontId="0" fillId="0" borderId="0" pivotButton="0" quotePrefix="0" xfId="0"/>
    <xf numFmtId="4" fontId="9" fillId="15" borderId="2" applyAlignment="1" pivotButton="0" quotePrefix="0" xfId="1">
      <alignment vertical="center" wrapText="1"/>
    </xf>
    <xf numFmtId="4" fontId="6" fillId="15" borderId="2" applyAlignment="1" pivotButton="0" quotePrefix="0" xfId="1">
      <alignment vertical="center" wrapText="1"/>
    </xf>
    <xf numFmtId="0" fontId="6" fillId="12" borderId="2" applyAlignment="1" pivotButton="0" quotePrefix="0" xfId="1">
      <alignment vertical="center" wrapText="1"/>
    </xf>
    <xf numFmtId="4" fontId="6" fillId="12" borderId="2" applyAlignment="1" pivotButton="0" quotePrefix="0" xfId="1">
      <alignment vertical="center" wrapText="1"/>
    </xf>
    <xf numFmtId="4" fontId="6" fillId="9" borderId="2" applyAlignment="1" pivotButton="0" quotePrefix="0" xfId="1">
      <alignment vertical="center" wrapText="1"/>
    </xf>
    <xf numFmtId="164" fontId="6" fillId="9" borderId="2" applyAlignment="1" pivotButton="0" quotePrefix="0" xfId="1">
      <alignment vertical="center" wrapText="1"/>
    </xf>
    <xf numFmtId="0" fontId="6" fillId="13" borderId="2" applyAlignment="1" pivotButton="0" quotePrefix="0" xfId="1">
      <alignment horizontal="center" vertical="center" wrapText="1"/>
    </xf>
    <xf numFmtId="4" fontId="6" fillId="10" borderId="2" pivotButton="0" quotePrefix="0" xfId="1"/>
    <xf numFmtId="11" fontId="6" fillId="10" borderId="2" pivotButton="0" quotePrefix="0" xfId="1"/>
    <xf numFmtId="164" fontId="6" fillId="10" borderId="2" pivotButton="0" quotePrefix="0" xfId="1"/>
    <xf numFmtId="3" fontId="6" fillId="10" borderId="2" pivotButton="0" quotePrefix="0" xfId="1"/>
    <xf numFmtId="40" fontId="3" fillId="13" borderId="2" pivotButton="0" quotePrefix="0" xfId="0"/>
    <xf numFmtId="0" fontId="10" fillId="3" borderId="3" applyAlignment="1" pivotButton="0" quotePrefix="0" xfId="1">
      <alignment horizontal="center" vertical="center"/>
    </xf>
    <xf numFmtId="0" fontId="1" fillId="11" borderId="3" applyAlignment="1" pivotButton="0" quotePrefix="0" xfId="1">
      <alignment horizontal="center" vertical="center"/>
    </xf>
    <xf numFmtId="0" fontId="10" fillId="11" borderId="3" applyAlignment="1" pivotButton="0" quotePrefix="0" xfId="1">
      <alignment horizontal="center"/>
    </xf>
    <xf numFmtId="0" fontId="3" fillId="11" borderId="3" applyAlignment="1" pivotButton="0" quotePrefix="0" xfId="1">
      <alignment vertical="center" wrapText="1"/>
    </xf>
    <xf numFmtId="0" fontId="10" fillId="3" borderId="3" applyAlignment="1" pivotButton="0" quotePrefix="0" xfId="1">
      <alignment horizontal="center"/>
    </xf>
    <xf numFmtId="0" fontId="3" fillId="0" borderId="3" applyAlignment="1" pivotButton="0" quotePrefix="0" xfId="1">
      <alignment wrapText="1"/>
    </xf>
    <xf numFmtId="0" fontId="1" fillId="2" borderId="0" applyAlignment="1" pivotButton="0" quotePrefix="0" xfId="1">
      <alignment horizontal="center" vertical="center"/>
    </xf>
    <xf numFmtId="0" fontId="0" fillId="0" borderId="0" pivotButton="0" quotePrefix="0" xfId="0"/>
    <xf numFmtId="0" fontId="10" fillId="2" borderId="0" applyAlignment="1" pivotButton="0" quotePrefix="0" xfId="1">
      <alignment horizontal="center"/>
    </xf>
    <xf numFmtId="0" fontId="3" fillId="2" borderId="1" applyAlignment="1" pivotButton="0" quotePrefix="0" xfId="1">
      <alignment vertical="center" wrapText="1"/>
    </xf>
    <xf numFmtId="0" fontId="10" fillId="6" borderId="2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/>
    </xf>
    <xf numFmtId="0" fontId="4" fillId="5" borderId="2" applyAlignment="1" pivotButton="0" quotePrefix="0" xfId="1">
      <alignment horizontal="center" vertical="center"/>
    </xf>
    <xf numFmtId="0" fontId="4" fillId="6" borderId="2" applyAlignment="1" pivotButton="0" quotePrefix="0" xfId="1">
      <alignment horizontal="center" vertical="center"/>
    </xf>
    <xf numFmtId="0" fontId="4" fillId="7" borderId="2" applyAlignment="1" pivotButton="0" quotePrefix="0" xfId="1">
      <alignment horizontal="center" vertical="center"/>
    </xf>
    <xf numFmtId="0" fontId="1" fillId="2" borderId="0" applyAlignment="1" pivotButton="0" quotePrefix="0" xfId="1">
      <alignment vertical="center"/>
    </xf>
    <xf numFmtId="0" fontId="2" fillId="2" borderId="0" pivotButton="0" quotePrefix="0" xfId="1"/>
    <xf numFmtId="0" fontId="7" fillId="2" borderId="0" applyAlignment="1" pivotButton="0" quotePrefix="0" xfId="1">
      <alignment wrapText="1"/>
    </xf>
    <xf numFmtId="0" fontId="13" fillId="16" borderId="2" applyAlignment="1" pivotButton="0" quotePrefix="0" xfId="0">
      <alignment horizontal="center" vertical="center" wrapText="1"/>
    </xf>
    <xf numFmtId="0" fontId="1" fillId="2" borderId="0" applyAlignment="1" pivotButton="0" quotePrefix="0" xfId="1">
      <alignment horizontal="left" vertical="center"/>
    </xf>
    <xf numFmtId="0" fontId="2" fillId="2" borderId="0" applyAlignment="1" pivotButton="0" quotePrefix="0" xfId="1">
      <alignment horizontal="left"/>
    </xf>
    <xf numFmtId="0" fontId="5" fillId="2" borderId="0" applyAlignment="1" pivotButton="0" quotePrefix="0" xfId="1">
      <alignment horizontal="center"/>
    </xf>
    <xf numFmtId="0" fontId="6" fillId="2" borderId="1" applyAlignment="1" pivotButton="0" quotePrefix="0" xfId="1">
      <alignment vertical="center" wrapText="1"/>
    </xf>
    <xf numFmtId="0" fontId="5" fillId="3" borderId="2" applyAlignment="1" pivotButton="0" quotePrefix="0" xfId="1">
      <alignment horizontal="center" vertical="center"/>
    </xf>
    <xf numFmtId="40" fontId="3" fillId="13" borderId="4" pivotButton="0" quotePrefix="0" xfId="0"/>
    <xf numFmtId="0" fontId="13" fillId="17" borderId="5" applyAlignment="1" pivotButton="0" quotePrefix="0" xfId="0">
      <alignment horizontal="center" vertical="center" wrapText="1"/>
    </xf>
    <xf numFmtId="40" fontId="0" fillId="18" borderId="3" pivotButton="0" quotePrefix="0" xfId="0"/>
    <xf numFmtId="167" fontId="0" fillId="18" borderId="3" pivotButton="0" quotePrefix="0" xfId="0"/>
    <xf numFmtId="0" fontId="3" fillId="0" borderId="4" pivotButton="0" quotePrefix="0" xfId="1"/>
    <xf numFmtId="40" fontId="10" fillId="8" borderId="5" pivotButton="0" quotePrefix="0" xfId="0"/>
    <xf numFmtId="0" fontId="10" fillId="8" borderId="5" pivotButton="0" quotePrefix="0" xfId="1"/>
    <xf numFmtId="3" fontId="10" fillId="8" borderId="5" pivotButton="0" quotePrefix="0" xfId="1"/>
    <xf numFmtId="0" fontId="3" fillId="0" borderId="6" pivotButton="0" quotePrefix="0" xfId="1"/>
    <xf numFmtId="0" fontId="3" fillId="0" borderId="7" pivotButton="0" quotePrefix="0" xfId="1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167" fontId="0" fillId="18" borderId="3" pivotButton="0" quotePrefix="0" xfId="0"/>
    <xf numFmtId="165" fontId="6" fillId="14" borderId="2" applyAlignment="1" pivotButton="0" quotePrefix="0" xfId="1">
      <alignment vertical="center" wrapText="1"/>
    </xf>
    <xf numFmtId="166" fontId="6" fillId="10" borderId="2" applyAlignment="1" pivotButton="0" quotePrefix="0" xfId="1">
      <alignment vertical="center" wrapText="1"/>
    </xf>
    <xf numFmtId="164" fontId="6" fillId="10" borderId="2" applyAlignment="1" pivotButton="0" quotePrefix="0" xfId="1">
      <alignment vertical="center" wrapText="1"/>
    </xf>
    <xf numFmtId="165" fontId="6" fillId="13" borderId="2" applyAlignment="1" pivotButton="0" quotePrefix="0" xfId="1">
      <alignment vertical="center" wrapText="1"/>
    </xf>
    <xf numFmtId="164" fontId="6" fillId="4" borderId="2" applyAlignment="1" pivotButton="0" quotePrefix="0" xfId="1">
      <alignment vertical="center" wrapText="1"/>
    </xf>
    <xf numFmtId="164" fontId="6" fillId="9" borderId="2" applyAlignment="1" pivotButton="0" quotePrefix="0" xfId="1">
      <alignment vertical="center" wrapText="1"/>
    </xf>
    <xf numFmtId="164" fontId="6" fillId="10" borderId="2" pivotButton="0" quotePrefix="0" xfId="1"/>
  </cellXfs>
  <cellStyles count="2">
    <cellStyle name="一般" xfId="0" builtinId="0"/>
    <cellStyle name="Normal" xfId="1"/>
  </cellStyles>
  <dxfs count="143">
    <dxf>
      <fill>
        <patternFill>
          <bgColor indexed="64"/>
        </patternFill>
      </fill>
      <border>
        <left style="thin">
          <color rgb="FF7F7F7F"/>
        </lef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numFmt numFmtId="0" formatCode="General"/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 patternType="solid">
          <bgColor theme="6" tint="0.5999633777886288"/>
        </patternFill>
      </fill>
      <border>
        <right style="thin">
          <color rgb="FF7F7F7F"/>
        </right>
      </border>
    </dxf>
    <dxf>
      <border>
        <right style="thin">
          <color rgb="FF7F7F7F"/>
        </right>
      </border>
    </dxf>
    <dxf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  <border>
        <right style="thin">
          <color rgb="FF7F7F7F"/>
        </right>
      </border>
    </dxf>
    <dxf>
      <border>
        <right style="thin">
          <color rgb="FF7F7F7F"/>
        </right>
      </border>
    </dxf>
    <dxf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</dxf>
    <dxf>
      <fill>
        <patternFill>
          <bgColor indexed="64"/>
        </patternFill>
      </fill>
      <border>
        <left style="thin">
          <color rgb="FF7F7F7F"/>
        </lef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 patternType="solid">
          <bgColor theme="6" tint="0.5999633777886288"/>
        </patternFill>
      </fill>
      <border>
        <right style="thin">
          <color rgb="FF7F7F7F"/>
        </right>
      </border>
    </dxf>
    <dxf>
      <border>
        <right style="thin">
          <color rgb="FF7F7F7F"/>
        </right>
      </border>
    </dxf>
    <dxf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  <border>
        <right style="thin">
          <color rgb="FF7F7F7F"/>
        </right>
      </border>
    </dxf>
    <dxf>
      <border>
        <right style="thin">
          <color rgb="FF7F7F7F"/>
        </right>
      </border>
    </dxf>
    <dxf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  <border>
        <right style="thin">
          <color rgb="FF7F7F7F"/>
        </right>
      </border>
    </dxf>
    <dxf>
      <border>
        <right style="thin">
          <color rgb="FF7F7F7F"/>
        </right>
      </border>
    </dxf>
    <dxf>
      <border>
        <left style="thin">
          <color rgb="FF7F7F7F"/>
        </left>
      </border>
    </dxf>
    <dxf>
      <fill>
        <patternFill patternType="solid">
          <bgColor theme="6" tint="0.5999633777886288"/>
        </patternFill>
      </fill>
    </dxf>
    <dxf>
      <fill>
        <patternFill>
          <bgColor indexed="64"/>
        </patternFill>
      </fill>
      <border>
        <left style="thin">
          <color rgb="FF7F7F7F"/>
        </lef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numFmt numFmtId="0" formatCode="General"/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numFmt numFmtId="0" formatCode="General"/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numFmt numFmtId="0" formatCode="General"/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numFmt numFmtId="0" formatCode="General"/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left style="thin">
          <color rgb="FF7F7F7F"/>
        </left>
        <right style="thin">
          <color rgb="FF7F7F7F"/>
        </right>
      </border>
    </dxf>
    <dxf>
      <fill>
        <patternFill>
          <bgColor indexed="64"/>
        </patternFill>
      </fill>
      <border>
        <right style="thin">
          <color rgb="FF7F7F7F"/>
        </righ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tc={D32F3868-A4E4-56F0-0D1C-946C9FD3406C}</author>
  </authors>
  <commentList>
    <comment ref="C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一张图纸对应一行。在表格最后一行的下一行输入产品图号，Excel表格会自动扩展并复制公式、格式和下拉选项。</t>
      </text>
    </comment>
  </commentList>
</comments>
</file>

<file path=xl/comments/comment2.xml><?xml version="1.0" encoding="utf-8"?>
<comments xmlns="http://schemas.openxmlformats.org/spreadsheetml/2006/main">
  <authors>
    <author>tc={F16A53B1-0386-2443-06DA-34044655E9B3}</author>
  </authors>
  <commentList>
    <comment ref="C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一张图纸对应一行。在表格最后一行的下一行输入产品图号，Excel表格会自动扩展并复制公式、格式和下拉选项。</t>
      </text>
    </comment>
  </commentList>
</comments>
</file>

<file path=xl/comments/comment3.xml><?xml version="1.0" encoding="utf-8"?>
<comments xmlns="http://schemas.openxmlformats.org/spreadsheetml/2006/main">
  <authors>
    <author>tc={F802EF94-13AF-0F75-B48E-CA73F7160B23}</author>
  </authors>
  <commentList>
    <comment ref="C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一张图纸对应一行。在表格最后一行的下一行输入产品图号，Excel表格会自动扩展并复制公式、格式和下拉选项。</t>
      </text>
    </comment>
  </commentList>
</comments>
</file>

<file path=xl/comments/comment4.xml><?xml version="1.0" encoding="utf-8"?>
<comments xmlns="http://schemas.openxmlformats.org/spreadsheetml/2006/main">
  <authors>
    <author>tc={9E1D1933-F87C-A70D-41FE-CD9C53410ADF}</author>
  </authors>
  <commentList>
    <comment ref="C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一张图纸对应一行。在表格最后一行的下一行输入产品图号，Excel表格会自动扩展并复制公式、格式和下拉选项。</t>
      </text>
    </comment>
  </commentList>
</comments>
</file>

<file path=xl/comments/comment5.xml><?xml version="1.0" encoding="utf-8"?>
<comments xmlns="http://schemas.openxmlformats.org/spreadsheetml/2006/main">
  <authors>
    <author>tc={ADAF94D2-A012-7A6E-9446-DDDF9A1CBB5B}</author>
    <author>tc={9EE061F6-3E28-A8B1-3365-5E07BD5BD64D}</author>
  </authors>
  <commentList>
    <comment ref="N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当前源模板税率公式为13%。该值保留为可编辑参数，正式报价前请由财务确认。</t>
      </text>
    </comment>
    <comment ref="N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默认0%用于复现加工件模板。若贵司报价还需计入管理费或利润，可在此统一设置。</t>
      </text>
    </comment>
  </commentList>
</comments>
</file>

<file path=xl/tables/table1.xml><?xml version="1.0" encoding="utf-8"?>
<table xmlns="http://schemas.openxmlformats.org/spreadsheetml/2006/main" id="1" name="MachiningTable" displayName="MachiningTable" ref="A6:AI12" headerRowCount="1" totalsRowShown="0">
  <autoFilter ref="A6:AI12"/>
  <tableColumns count="35">
    <tableColumn id="1" name="序号" dataDxfId="142"/>
    <tableColumn id="2" name="专案代码" dataDxfId="141"/>
    <tableColumn id="3" name="产品图号" dataDxfId="140"/>
    <tableColumn id="4" name="材质" dataDxfId="139"/>
    <tableColumn id="5" name="材料单价" dataDxfId="138"/>
    <tableColumn id="6" name="密度" dataDxfId="137"/>
    <tableColumn id="7" name="备料长mm" dataDxfId="136"/>
    <tableColumn id="8" name="备料宽mm" dataDxfId="135"/>
    <tableColumn id="9" name="备料高mm" dataDxfId="134"/>
    <tableColumn id="10" name="单位" dataDxfId="133"/>
    <tableColumn id="11" name="材料重量kg" dataDxfId="132"/>
    <tableColumn id="12" name="材料费" dataDxfId="131"/>
    <tableColumn id="13" name="车床h" dataDxfId="130"/>
    <tableColumn id="14" name="铣床h" dataDxfId="129"/>
    <tableColumn id="15" name="磨床h" dataDxfId="128"/>
    <tableColumn id="16" name="钳工h" dataDxfId="127"/>
    <tableColumn id="17" name="其它h" dataDxfId="126"/>
    <tableColumn id="18" name="放电h" dataDxfId="125"/>
    <tableColumn id="19" name="快丝h" dataDxfId="124"/>
    <tableColumn id="20" name="慢丝h" dataDxfId="123"/>
    <tableColumn id="21" name="夹头/治具费" dataDxfId="122"/>
    <tableColumn id="22" name="精雕机h" dataDxfId="121"/>
    <tableColumn id="23" name="CNC h" dataDxfId="120"/>
    <tableColumn id="24" name="镀铬kg" dataDxfId="119"/>
    <tableColumn id="25" name="热处理kg" dataDxfId="118"/>
    <tableColumn id="26" name="阳极kg" dataDxfId="117"/>
    <tableColumn id="27" name="发黑kg" dataDxfId="116"/>
    <tableColumn id="28" name="税金" dataDxfId="115"/>
    <tableColumn id="29" name="含税单价" dataDxfId="114"/>
    <tableColumn id="30" name="数量" dataDxfId="113"/>
    <tableColumn id="31" name="含税总价" dataDxfId="112"/>
    <tableColumn id="32" name="未税单价" dataDxfId="111"/>
    <tableColumn id="33" name="厂商报价(未税)" dataDxfId="110"/>
    <tableColumn id="34" name="复核状态" dataDxfId="109"/>
    <tableColumn id="35" name="备注" dataDxfId="10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SheetMetalTable" displayName="SheetMetalTable" ref="A6:AI12" headerRowCount="1" totalsRowShown="0">
  <autoFilter ref="A6:AI12"/>
  <tableColumns count="35">
    <tableColumn id="1" name="序号" dataDxfId="107"/>
    <tableColumn id="2" name="专案代码" dataDxfId="106"/>
    <tableColumn id="3" name="产品图号" dataDxfId="105"/>
    <tableColumn id="4" name="材质" dataDxfId="104"/>
    <tableColumn id="5" name="材料单价" dataDxfId="103"/>
    <tableColumn id="6" name="密度" dataDxfId="102"/>
    <tableColumn id="7" name="展开面积m²" dataDxfId="101"/>
    <tableColumn id="8" name="板厚mm" dataDxfId="100"/>
    <tableColumn id="9" name="材料利用率" dataDxfId="99"/>
    <tableColumn id="10" name="单位" dataDxfId="98"/>
    <tableColumn id="11" name="材料用量kg" dataDxfId="97"/>
    <tableColumn id="12" name="材料费" dataDxfId="96"/>
    <tableColumn id="13" name="切割长度m" dataDxfId="95"/>
    <tableColumn id="14" name="穿孔数" dataDxfId="94"/>
    <tableColumn id="15" name="切割速度m/min" dataDxfId="93"/>
    <tableColumn id="16" name="穿孔秒/次" dataDxfId="92"/>
    <tableColumn id="17" name="切割准备h/批" dataDxfId="91"/>
    <tableColumn id="18" name="切割费" dataDxfId="90"/>
    <tableColumn id="19" name="折弯数" dataDxfId="89"/>
    <tableColumn id="20" name="单刀分钟" dataDxfId="88"/>
    <tableColumn id="21" name="折弯准备h/批" dataDxfId="87"/>
    <tableColumn id="22" name="折弯费" dataDxfId="86"/>
    <tableColumn id="23" name="五金/件" dataDxfId="85"/>
    <tableColumn id="24" name="手工分钟/件" dataDxfId="84"/>
    <tableColumn id="25" name="手工费" dataDxfId="83"/>
    <tableColumn id="26" name="表处费/件" dataDxfId="82"/>
    <tableColumn id="27" name="其它费/件" dataDxfId="81"/>
    <tableColumn id="28" name="税金" dataDxfId="80"/>
    <tableColumn id="29" name="含税单价" dataDxfId="79"/>
    <tableColumn id="30" name="数量" dataDxfId="78"/>
    <tableColumn id="31" name="含税总价" dataDxfId="77"/>
    <tableColumn id="32" name="未税单价" dataDxfId="76"/>
    <tableColumn id="33" name="厂商报价(未税)" dataDxfId="75"/>
    <tableColumn id="34" name="复核状态" dataDxfId="74"/>
    <tableColumn id="35" name="备注" dataDxfId="73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WeldingTable" displayName="WeldingTable" ref="A6:AL12" headerRowCount="1" totalsRowShown="0">
  <autoFilter ref="A6:AL12"/>
  <tableColumns count="38">
    <tableColumn id="1" name="序号" dataDxfId="72"/>
    <tableColumn id="2" name="专案代码" dataDxfId="71"/>
    <tableColumn id="3" name="产品图号"/>
    <tableColumn id="4" name="材质" dataDxfId="70"/>
    <tableColumn id="5" name="材料单价" dataDxfId="69"/>
    <tableColumn id="6" name="密度" dataDxfId="68"/>
    <tableColumn id="7" name="BOM净重kg/套" dataDxfId="67"/>
    <tableColumn id="8" name="材料利用率" dataDxfId="66"/>
    <tableColumn id="9" name="材料用量kg/套" dataDxfId="65"/>
    <tableColumn id="10" name="材料费" dataDxfId="64"/>
    <tableColumn id="11" name="外购件/套" dataDxfId="63"/>
    <tableColumn id="12" name="备料h/批" dataDxfId="62"/>
    <tableColumn id="13" name="备料费/套" dataDxfId="61"/>
    <tableColumn id="14" name="组立h/套" dataDxfId="60"/>
    <tableColumn id="15" name="组立费/套" dataDxfId="59"/>
    <tableColumn id="16" name="焊缝长度m/套" dataDxfId="58"/>
    <tableColumn id="17" name="焊脚/特征mm" dataDxfId="57"/>
    <tableColumn id="18" name="截面积系数" dataDxfId="56"/>
    <tableColumn id="19" name="焊速m/min" dataDxfId="55"/>
    <tableColumn id="20" name="电弧作业率" dataDxfId="54"/>
    <tableColumn id="21" name="焊工实际h/套" dataDxfId="53"/>
    <tableColumn id="22" name="焊接费/套" dataDxfId="52"/>
    <tableColumn id="23" name="焊材单价" dataDxfId="51"/>
    <tableColumn id="24" name="熔敷效率" dataDxfId="50"/>
    <tableColumn id="25" name="气体费率元/h" dataDxfId="49"/>
    <tableColumn id="26" name="焊材+气体费/套" dataDxfId="48"/>
    <tableColumn id="27" name="打磨校形h/套" dataDxfId="47"/>
    <tableColumn id="28" name="后处理费/套" dataDxfId="46"/>
    <tableColumn id="29" name="表处/外协/套" dataDxfId="45"/>
    <tableColumn id="30" name="检验包装/套" dataDxfId="44"/>
    <tableColumn id="31" name="税金" dataDxfId="43"/>
    <tableColumn id="32" name="含税单价" dataDxfId="42"/>
    <tableColumn id="33" name="数量" dataDxfId="41"/>
    <tableColumn id="34" name="含税总价" dataDxfId="40"/>
    <tableColumn id="35" name="未税单价" dataDxfId="39"/>
    <tableColumn id="36" name="厂商报价(未税)" dataDxfId="38"/>
    <tableColumn id="37" name="复核状态" dataDxfId="37"/>
    <tableColumn id="38" name="备注" dataDxfId="3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ProfileAssemblyTable" displayName="ProfileAssemblyTable" ref="A6:AM12" headerRowCount="1" totalsRowShown="0">
  <autoFilter ref="A6:AM12"/>
  <tableColumns count="39">
    <tableColumn id="1" name="序号" dataDxfId="35"/>
    <tableColumn id="2" name="专案代码" dataDxfId="34"/>
    <tableColumn id="3" name="产品图号"/>
    <tableColumn id="4" name="材质" dataDxfId="33"/>
    <tableColumn id="5" name="材料单价" dataDxfId="32"/>
    <tableColumn id="6" name="密度" dataDxfId="31"/>
    <tableColumn id="7" name="净长度m/套" dataDxfId="30"/>
    <tableColumn id="8" name="理论重量kg/m"/>
    <tableColumn id="9" name="标准料长m/支"/>
    <tableColumn id="10" name="排料利用率" dataDxfId="29"/>
    <tableColumn id="11" name="采购支数/批" dataDxfId="28"/>
    <tableColumn id="12" name="采购重量kg/套" dataDxfId="27"/>
    <tableColumn id="13" name="材料费" dataDxfId="26"/>
    <tableColumn id="14" name="切断数/套" dataDxfId="25"/>
    <tableColumn id="15" name="单刀分钟" dataDxfId="24"/>
    <tableColumn id="16" name="锯切准备h/批" dataDxfId="23"/>
    <tableColumn id="17" name="锯切费/套" dataDxfId="22"/>
    <tableColumn id="18" name="钻孔数/套" dataDxfId="21"/>
    <tableColumn id="19" name="钻孔单孔分钟" dataDxfId="20"/>
    <tableColumn id="20" name="钻孔费/套" dataDxfId="19"/>
    <tableColumn id="21" name="攻牙数/套" dataDxfId="18"/>
    <tableColumn id="22" name="攻牙单孔分钟" dataDxfId="17"/>
    <tableColumn id="23" name="攻牙费/套" dataDxfId="16"/>
    <tableColumn id="24" name="连接件/套" dataDxfId="15"/>
    <tableColumn id="25" name="紧固件/套" dataDxfId="14"/>
    <tableColumn id="26" name="装配分钟/套" dataDxfId="13"/>
    <tableColumn id="27" name="装配费/套" dataDxfId="12"/>
    <tableColumn id="28" name="补充焊接分钟/套" dataDxfId="11"/>
    <tableColumn id="29" name="焊接费/套" dataDxfId="10"/>
    <tableColumn id="30" name="表处/外协/套" dataDxfId="9"/>
    <tableColumn id="31" name="检验包装/套" dataDxfId="8"/>
    <tableColumn id="32" name="税金" dataDxfId="7"/>
    <tableColumn id="33" name="含税单价" dataDxfId="6"/>
    <tableColumn id="34" name="数量" dataDxfId="5"/>
    <tableColumn id="35" name="含税总价" dataDxfId="4"/>
    <tableColumn id="36" name="未税单价" dataDxfId="3"/>
    <tableColumn id="37" name="厂商报价(未税)" dataDxfId="2"/>
    <tableColumn id="38" name="复核状态" dataDxfId="1"/>
    <tableColumn id="39" name="备注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E29"/>
  <sheetViews>
    <sheetView showGridLines="0" workbookViewId="0">
      <selection activeCell="B27" sqref="B27:E27"/>
    </sheetView>
  </sheetViews>
  <sheetFormatPr baseColWidth="8" defaultRowHeight="13.8"/>
  <cols>
    <col width="10.69921875" customWidth="1" style="54" min="1" max="1"/>
    <col width="48.69921875" customWidth="1" style="54" min="2" max="2"/>
    <col width="35.796875" customWidth="1" style="54" min="3" max="3"/>
    <col width="35.5" customWidth="1" style="54" min="4" max="4"/>
    <col width="9.8984375" customWidth="1" style="54" min="5" max="5"/>
  </cols>
  <sheetData>
    <row r="1" ht="28.2" customHeight="1" s="54">
      <c r="A1" s="48" t="inlineStr">
        <is>
          <t>公司名称</t>
        </is>
      </c>
      <c r="B1" s="81" t="n"/>
      <c r="C1" s="81" t="n"/>
      <c r="D1" s="81" t="n"/>
      <c r="E1" s="82" t="n"/>
    </row>
    <row r="2" ht="15.6" customHeight="1" s="54">
      <c r="A2" s="49" t="inlineStr">
        <is>
          <t>四类零件统一报价计算模板—使用说明</t>
        </is>
      </c>
      <c r="B2" s="81" t="n"/>
      <c r="C2" s="81" t="n"/>
      <c r="D2" s="81" t="n"/>
      <c r="E2" s="82" t="n"/>
    </row>
    <row r="3" ht="15" customHeight="1" s="54">
      <c r="A3" s="50" t="inlineStr">
        <is>
          <t>加工件作为基准模式；钣金件、焊接件、型材组装件均采用相同的材料—工序—税金—含税单价—总价结构。</t>
        </is>
      </c>
      <c r="B3" s="81" t="n"/>
      <c r="C3" s="81" t="n"/>
      <c r="D3" s="81" t="n"/>
      <c r="E3" s="82" t="n"/>
    </row>
    <row r="4" ht="15.6" customHeight="1" s="54">
      <c r="A4" s="47" t="inlineStr">
        <is>
          <t>一、四类计算方式</t>
        </is>
      </c>
      <c r="B4" s="81" t="n"/>
      <c r="C4" s="81" t="n"/>
      <c r="D4" s="81" t="n"/>
      <c r="E4" s="82" t="n"/>
    </row>
    <row r="5" ht="15.6" customHeight="1" s="54">
      <c r="A5" s="51" t="inlineStr">
        <is>
          <t>类别</t>
        </is>
      </c>
      <c r="B5" s="51" t="inlineStr">
        <is>
          <t>材料计算</t>
        </is>
      </c>
      <c r="C5" s="51" t="inlineStr">
        <is>
          <t>主要工序输入</t>
        </is>
      </c>
      <c r="D5" s="51" t="inlineStr">
        <is>
          <t>未税单价结构</t>
        </is>
      </c>
      <c r="E5" s="51" t="inlineStr">
        <is>
          <t>对应工作表</t>
        </is>
      </c>
    </row>
    <row r="6" ht="15" customHeight="1" s="54">
      <c r="A6" s="52" t="inlineStr">
        <is>
          <t>加工件</t>
        </is>
      </c>
      <c r="B6" s="52" t="inlineStr">
        <is>
          <t>密度×备料长×宽×高×材料单价</t>
        </is>
      </c>
      <c r="C6" s="52" t="inlineStr">
        <is>
          <t>车/铣/磨/钳/CNC/线切割/表处</t>
        </is>
      </c>
      <c r="D6" s="52" t="inlineStr">
        <is>
          <t>材料费+各工序输入×原模板费率</t>
        </is>
      </c>
      <c r="E6" s="52" t="inlineStr">
        <is>
          <t>加工件</t>
        </is>
      </c>
    </row>
    <row r="7" ht="15" customHeight="1" s="54">
      <c r="A7" s="52" t="inlineStr">
        <is>
          <t>钣金件</t>
        </is>
      </c>
      <c r="B7" s="52" t="inlineStr">
        <is>
          <t>展开面积×板厚×密度÷利用率×材料单价</t>
        </is>
      </c>
      <c r="C7" s="52" t="inlineStr">
        <is>
          <t>切割长度、穿孔、折弯、五金、手工、表处</t>
        </is>
      </c>
      <c r="D7" s="52" t="inlineStr">
        <is>
          <t>材料费+切割费+折弯费+五金+手工+外协</t>
        </is>
      </c>
      <c r="E7" s="52" t="inlineStr">
        <is>
          <t>钣金件</t>
        </is>
      </c>
    </row>
    <row r="8" ht="15" customHeight="1" s="54">
      <c r="A8" s="52" t="inlineStr">
        <is>
          <t>焊接件</t>
        </is>
      </c>
      <c r="B8" s="52" t="inlineStr">
        <is>
          <t>BOM净重÷利用率×材料单价</t>
        </is>
      </c>
      <c r="C8" s="52" t="inlineStr">
        <is>
          <t>备料、组立、焊缝、焊材气体、打磨校形</t>
        </is>
      </c>
      <c r="D8" s="52" t="inlineStr">
        <is>
          <t>材料费+外购+各工序+焊材辅料+外协</t>
        </is>
      </c>
      <c r="E8" s="52" t="inlineStr">
        <is>
          <t>焊接件</t>
        </is>
      </c>
    </row>
    <row r="9" ht="15" customHeight="1" s="54">
      <c r="A9" s="52" t="inlineStr">
        <is>
          <t>型材组装件</t>
        </is>
      </c>
      <c r="B9" s="52" t="inlineStr">
        <is>
          <t>标准料长取整×kg/m×材料单价</t>
        </is>
      </c>
      <c r="C9" s="52" t="inlineStr">
        <is>
          <t>切断、钻孔、攻牙、连接件、装配</t>
        </is>
      </c>
      <c r="D9" s="52" t="inlineStr">
        <is>
          <t>材料费+切割机加+连接件+装配+外协</t>
        </is>
      </c>
      <c r="E9" s="52" t="inlineStr">
        <is>
          <t>型材组装件</t>
        </is>
      </c>
    </row>
    <row r="10" ht="15" customHeight="1" s="54">
      <c r="A10" s="14" t="n"/>
      <c r="B10" s="14" t="n"/>
      <c r="C10" s="14" t="n"/>
      <c r="D10" s="14" t="n"/>
      <c r="E10" s="14" t="n"/>
    </row>
    <row r="11" ht="15.6" customHeight="1" s="54">
      <c r="A11" s="47" t="inlineStr">
        <is>
          <t>二、自动增加一行</t>
        </is>
      </c>
      <c r="B11" s="81" t="n"/>
      <c r="C11" s="81" t="n"/>
      <c r="D11" s="81" t="n"/>
      <c r="E11" s="82" t="n"/>
    </row>
    <row r="12" ht="15.6" customHeight="1" s="54">
      <c r="A12" s="51" t="inlineStr">
        <is>
          <t>步骤</t>
        </is>
      </c>
      <c r="B12" s="51" t="inlineStr">
        <is>
          <t>操作</t>
        </is>
      </c>
      <c r="C12" s="51" t="inlineStr">
        <is>
          <t>结果</t>
        </is>
      </c>
      <c r="D12" s="81" t="n"/>
      <c r="E12" s="82" t="n"/>
    </row>
    <row r="13" ht="15" customHeight="1" s="54">
      <c r="A13" s="52" t="n">
        <v>1</v>
      </c>
      <c r="B13" s="52" t="inlineStr">
        <is>
          <t>进入对应类别工作表。</t>
        </is>
      </c>
      <c r="C13" s="52" t="inlineStr">
        <is>
          <t>每类工作表都是Excel表格，不是普通固定区域。</t>
        </is>
      </c>
      <c r="D13" s="81" t="n"/>
      <c r="E13" s="82" t="n"/>
    </row>
    <row r="14" ht="15" customHeight="1" s="54">
      <c r="A14" s="52" t="n">
        <v>2</v>
      </c>
      <c r="B14" s="52" t="inlineStr">
        <is>
          <t>在表格最后一行紧邻的下一行输入“产品图号”。</t>
        </is>
      </c>
      <c r="C14" s="52" t="inlineStr">
        <is>
          <t>Excel自动扩展一行，并复制序号、查价、材料费、工序费、税金和总价公式。</t>
        </is>
      </c>
      <c r="D14" s="81" t="n"/>
      <c r="E14" s="82" t="n"/>
    </row>
    <row r="15" ht="15" customHeight="1" s="54">
      <c r="A15" s="52" t="n">
        <v>3</v>
      </c>
      <c r="B15" s="52" t="inlineStr">
        <is>
          <t>选择材质并填写橙色/蓝色输入格。</t>
        </is>
      </c>
      <c r="C15" s="52" t="inlineStr">
        <is>
          <t>材料单价、密度和绿色报价结果自动更新。</t>
        </is>
      </c>
      <c r="D15" s="81" t="n"/>
      <c r="E15" s="82" t="n"/>
    </row>
    <row r="16" ht="15" customHeight="1" s="54">
      <c r="A16" s="52" t="n">
        <v>4</v>
      </c>
      <c r="B16" s="52" t="inlineStr">
        <is>
          <t>若由图纸识别程序生成，按零件类别向对应表格追加一行。</t>
        </is>
      </c>
      <c r="C16" s="52" t="inlineStr">
        <is>
          <t>一张图纸=一行；汇总表统计第7～506行。</t>
        </is>
      </c>
      <c r="D16" s="81" t="n"/>
      <c r="E16" s="82" t="n"/>
    </row>
    <row r="17" ht="15" customHeight="1" s="54">
      <c r="A17" s="52" t="n">
        <v>5</v>
      </c>
      <c r="B17" s="52" t="inlineStr">
        <is>
          <t>超过500行时，将统一汇总中的统计上限同步扩大。</t>
        </is>
      </c>
      <c r="C17" s="52" t="inlineStr">
        <is>
          <t>Excel表格仍可继续扩展，但汇总预留范围需要调整。</t>
        </is>
      </c>
      <c r="D17" s="81" t="n"/>
      <c r="E17" s="82" t="n"/>
    </row>
    <row r="18" ht="15.6" customHeight="1" s="54">
      <c r="A18" s="47" t="inlineStr">
        <is>
          <t>三、颜色和审核规则</t>
        </is>
      </c>
      <c r="B18" s="81" t="n"/>
      <c r="C18" s="81" t="n"/>
      <c r="D18" s="81" t="n"/>
      <c r="E18" s="82" t="n"/>
    </row>
    <row r="19" ht="15.6" customHeight="1" s="54">
      <c r="A19" s="51" t="inlineStr">
        <is>
          <t>颜色</t>
        </is>
      </c>
      <c r="B19" s="51" t="inlineStr">
        <is>
          <t>含义</t>
        </is>
      </c>
      <c r="C19" s="51" t="inlineStr">
        <is>
          <t>审核要求</t>
        </is>
      </c>
      <c r="D19" s="81" t="n"/>
      <c r="E19" s="82" t="n"/>
    </row>
    <row r="20" ht="15" customHeight="1" s="54">
      <c r="A20" s="17" t="inlineStr">
        <is>
          <t>橙色</t>
        </is>
      </c>
      <c r="B20" s="52" t="inlineStr">
        <is>
          <t>图纸、订单或人工输入</t>
        </is>
      </c>
      <c r="C20" s="52" t="inlineStr">
        <is>
          <t>图号、材料、数量、关键工艺输入必须确认</t>
        </is>
      </c>
      <c r="D20" s="81" t="n"/>
      <c r="E20" s="82" t="n"/>
    </row>
    <row r="21" ht="15" customHeight="1" s="54">
      <c r="A21" s="20" t="inlineStr">
        <is>
          <t>浅蓝色</t>
        </is>
      </c>
      <c r="B21" s="52" t="inlineStr">
        <is>
          <t>工序驱动量/工时输入</t>
        </is>
      </c>
      <c r="C21" s="52" t="inlineStr">
        <is>
          <t>AI估算工时属于报价估算，不是最终生产工艺路线</t>
        </is>
      </c>
      <c r="D21" s="81" t="n"/>
      <c r="E21" s="82" t="n"/>
    </row>
    <row r="22" ht="15" customHeight="1" s="54">
      <c r="A22" s="18" t="inlineStr">
        <is>
          <t>浅绿色</t>
        </is>
      </c>
      <c r="B22" s="52" t="inlineStr">
        <is>
          <t>公式自动计算</t>
        </is>
      </c>
      <c r="C22" s="52" t="inlineStr">
        <is>
          <t>不要手工覆盖；应修改来源参数或输入驱动量</t>
        </is>
      </c>
      <c r="D22" s="81" t="n"/>
      <c r="E22" s="82" t="n"/>
    </row>
    <row r="23" ht="15" customHeight="1" s="54">
      <c r="A23" s="16" t="inlineStr">
        <is>
          <t>黄色/亮绿色</t>
        </is>
      </c>
      <c r="B23" s="52" t="inlineStr">
        <is>
          <t>待复核 / 厂商报价</t>
        </is>
      </c>
      <c r="C23" s="52" t="inlineStr">
        <is>
          <t>不确定项留待人工确认；厂商价保持可编辑</t>
        </is>
      </c>
      <c r="D23" s="81" t="n"/>
      <c r="E23" s="82" t="n"/>
    </row>
    <row r="24" ht="15.6" customHeight="1" s="54">
      <c r="A24" s="47" t="inlineStr">
        <is>
          <t>四、与加工件源模板的一致性</t>
        </is>
      </c>
      <c r="B24" s="81" t="n"/>
      <c r="C24" s="81" t="n"/>
      <c r="D24" s="81" t="n"/>
      <c r="E24" s="82" t="n"/>
    </row>
    <row r="25" ht="15" customHeight="1" s="54">
      <c r="A25" s="15" t="inlineStr">
        <is>
          <t>项目</t>
        </is>
      </c>
      <c r="B25" s="52" t="inlineStr">
        <is>
          <t>处理方式</t>
        </is>
      </c>
      <c r="C25" s="81" t="n"/>
      <c r="D25" s="81" t="n"/>
      <c r="E25" s="82" t="n"/>
    </row>
    <row r="26" ht="15" customHeight="1" s="54">
      <c r="A26" s="15" t="inlineStr">
        <is>
          <t>加工费率</t>
        </is>
      </c>
      <c r="B26" s="52" t="inlineStr">
        <is>
          <t>沿用源模板：车50、铣45、磨45、钳35、其它30、放电40、快丝25、慢丝70、精雕40、CNC60。</t>
        </is>
      </c>
      <c r="C26" s="81" t="n"/>
      <c r="D26" s="81" t="n"/>
      <c r="E26" s="82" t="n"/>
    </row>
    <row r="27" ht="15" customHeight="1" s="54">
      <c r="A27" s="15" t="inlineStr">
        <is>
          <t>表面处理</t>
        </is>
      </c>
      <c r="B27" s="52" t="inlineStr">
        <is>
          <t>沿用源模板：镀铬3、热处理12、阳极12、发黑2，单位均为元/kg。</t>
        </is>
      </c>
      <c r="C27" s="81" t="n"/>
      <c r="D27" s="81" t="n"/>
      <c r="E27" s="82" t="n"/>
    </row>
    <row r="28" ht="15" customHeight="1" s="54">
      <c r="A28" s="15" t="inlineStr">
        <is>
          <t>税率</t>
        </is>
      </c>
      <c r="B28" s="52" t="inlineStr">
        <is>
          <t>沿用当前源模板13%，统一放在“基础参数”中，可由财务修改。</t>
        </is>
      </c>
      <c r="C28" s="81" t="n"/>
      <c r="D28" s="81" t="n"/>
      <c r="E28" s="82" t="n"/>
    </row>
    <row r="29" ht="15" customHeight="1" s="54">
      <c r="A29" s="15" t="inlineStr">
        <is>
          <t>综合加成</t>
        </is>
      </c>
      <c r="B29" s="52" t="inlineStr">
        <is>
          <t>源模板未单列管理费/利润，因此默认0%；如需要可在基础参数统一调整。</t>
        </is>
      </c>
      <c r="C29" s="81" t="n"/>
      <c r="D29" s="81" t="n"/>
      <c r="E29" s="82" t="n"/>
    </row>
  </sheetData>
  <mergeCells count="23">
    <mergeCell ref="C16:E16"/>
    <mergeCell ref="C20:E20"/>
    <mergeCell ref="A24:E24"/>
    <mergeCell ref="C22:E22"/>
    <mergeCell ref="A11:E11"/>
    <mergeCell ref="A1:E1"/>
    <mergeCell ref="C21:E21"/>
    <mergeCell ref="C12:E12"/>
    <mergeCell ref="B26:E26"/>
    <mergeCell ref="C23:E23"/>
    <mergeCell ref="B25:E25"/>
    <mergeCell ref="C17:E17"/>
    <mergeCell ref="A18:E18"/>
    <mergeCell ref="A3:E3"/>
    <mergeCell ref="B27:E27"/>
    <mergeCell ref="C19:E19"/>
    <mergeCell ref="C13:E13"/>
    <mergeCell ref="A2:E2"/>
    <mergeCell ref="C15:E15"/>
    <mergeCell ref="C14:E14"/>
    <mergeCell ref="A4:E4"/>
    <mergeCell ref="B29:E29"/>
    <mergeCell ref="B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K1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RowHeight="13.8"/>
  <cols>
    <col width="18" customWidth="1" style="54" min="1" max="1"/>
    <col width="28" customWidth="1" style="54" min="2" max="2"/>
    <col width="15" customWidth="1" style="54" min="3" max="4"/>
    <col width="20" customWidth="1" style="54" min="5" max="5"/>
    <col width="18" customWidth="1" style="54" min="6" max="7"/>
    <col width="20" customWidth="1" style="54" min="8" max="9"/>
    <col width="16" customWidth="1" style="54" min="10" max="10"/>
    <col width="14" customWidth="1" style="54" min="11" max="11"/>
  </cols>
  <sheetData>
    <row r="1" ht="31.95" customHeight="1" s="54">
      <c r="A1" s="53" t="inlineStr">
        <is>
          <t>公司名称</t>
        </is>
      </c>
    </row>
    <row r="2" ht="24" customHeight="1" s="54">
      <c r="A2" s="55" t="inlineStr">
        <is>
          <t>四类零件统一报价汇总</t>
        </is>
      </c>
    </row>
    <row r="3" ht="30" customHeight="1" s="54">
      <c r="A3" s="56" t="inlineStr">
        <is>
          <t>按各类别工作表第7～506行自动统计。AI预估、税金、含税总价以及有厂商报价行的可比差异会自动进入汇总。</t>
        </is>
      </c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</row>
    <row r="4" ht="15" customHeight="1" s="54">
      <c r="A4" s="8" t="n"/>
      <c r="B4" s="8" t="n"/>
      <c r="C4" s="8" t="n"/>
      <c r="D4" s="8" t="n"/>
      <c r="E4" s="8" t="n"/>
      <c r="F4" s="8" t="n"/>
      <c r="G4" s="8" t="n"/>
    </row>
    <row r="5" ht="15.6" customHeight="1" s="54">
      <c r="A5" s="57" t="inlineStr">
        <is>
          <t>自动汇总与厂商报价对比</t>
        </is>
      </c>
      <c r="B5" s="84" t="n"/>
      <c r="C5" s="84" t="n"/>
      <c r="D5" s="84" t="n"/>
      <c r="E5" s="84" t="n"/>
      <c r="F5" s="84" t="n"/>
      <c r="G5" s="84" t="n"/>
      <c r="H5" s="84" t="n"/>
      <c r="I5" s="84" t="n"/>
      <c r="J5" s="84" t="n"/>
      <c r="K5" s="85" t="n"/>
    </row>
    <row r="6" ht="15.6" customHeight="1" s="54">
      <c r="A6" s="9" t="inlineStr">
        <is>
          <t>零件类别</t>
        </is>
      </c>
      <c r="B6" s="9" t="inlineStr">
        <is>
          <t>对应工作表</t>
        </is>
      </c>
      <c r="C6" s="9" t="inlineStr">
        <is>
          <t>图纸行数</t>
        </is>
      </c>
      <c r="D6" s="9" t="inlineStr">
        <is>
          <t>报价数量</t>
        </is>
      </c>
      <c r="E6" s="9" t="inlineStr">
        <is>
          <t>AI预估未税总额</t>
        </is>
      </c>
      <c r="F6" s="9" t="inlineStr">
        <is>
          <t>税金总额</t>
        </is>
      </c>
      <c r="G6" s="9" t="inlineStr">
        <is>
          <t>含税总额</t>
        </is>
      </c>
      <c r="H6" s="72" t="inlineStr">
        <is>
          <t>可比AI预估未税</t>
        </is>
      </c>
      <c r="I6" s="72" t="inlineStr">
        <is>
          <t>厂商报价未税</t>
        </is>
      </c>
      <c r="J6" s="72" t="inlineStr">
        <is>
          <t>差价</t>
        </is>
      </c>
      <c r="K6" s="72" t="inlineStr">
        <is>
          <t>差价占比</t>
        </is>
      </c>
    </row>
    <row r="7" ht="15" customHeight="1" s="54">
      <c r="A7" s="10" t="inlineStr">
        <is>
          <t>加工件</t>
        </is>
      </c>
      <c r="B7" s="10" t="inlineStr">
        <is>
          <t>加工件</t>
        </is>
      </c>
      <c r="C7" s="19">
        <f>COUNTIF(加工件!$C$7:$C$506,"&lt;&gt;")</f>
        <v/>
      </c>
      <c r="D7" s="19">
        <f>SUM(加工件!$AD$7:$AD$506)</f>
        <v/>
      </c>
      <c r="E7" s="46">
        <f>SUMPRODUCT(加工件!$AF$7:$AF$506,加工件!$AD$7:$AD$506)</f>
        <v/>
      </c>
      <c r="F7" s="46">
        <f>SUMPRODUCT(加工件!$AB$7:$AB$506,加工件!$AD$7:$AD$506)</f>
        <v/>
      </c>
      <c r="G7" s="71">
        <f>SUM(加工件!$AE$7:$AE$506)</f>
        <v/>
      </c>
      <c r="H7" s="73">
        <f>SUMPRODUCT((加工件!$AG$7:$AG$506&lt;&gt;"")*加工件!$AF$7:$AF$506*加工件!$AD$7:$AD$506)</f>
        <v/>
      </c>
      <c r="I7" s="73">
        <f>SUMPRODUCT(加工件!$AG$7:$AG$506*加工件!$AD$7:$AD$506)</f>
        <v/>
      </c>
      <c r="J7" s="73">
        <f>H7-I7</f>
        <v/>
      </c>
      <c r="K7" s="86">
        <f>IFERROR(J7/H7,"")</f>
        <v/>
      </c>
    </row>
    <row r="8" ht="15" customHeight="1" s="54">
      <c r="A8" s="10" t="inlineStr">
        <is>
          <t>钣金件</t>
        </is>
      </c>
      <c r="B8" s="10" t="inlineStr">
        <is>
          <t>钣金件</t>
        </is>
      </c>
      <c r="C8" s="19">
        <f>COUNTIF(钣金件!$C$7:$C$506,"&lt;&gt;")</f>
        <v/>
      </c>
      <c r="D8" s="19">
        <f>SUM(钣金件!$AD$7:$AD$506)</f>
        <v/>
      </c>
      <c r="E8" s="46">
        <f>SUMPRODUCT(钣金件!$AF$7:$AF$506,钣金件!$AD$7:$AD$506)</f>
        <v/>
      </c>
      <c r="F8" s="46">
        <f>SUMPRODUCT(钣金件!$AB$7:$AB$506,钣金件!$AD$7:$AD$506)</f>
        <v/>
      </c>
      <c r="G8" s="71">
        <f>SUM(钣金件!$AE$7:$AE$506)</f>
        <v/>
      </c>
      <c r="H8" s="73">
        <f>SUMPRODUCT((钣金件!$AG$7:$AG$506&lt;&gt;"")*钣金件!$AF$7:$AF$506*钣金件!$AD$7:$AD$506)</f>
        <v/>
      </c>
      <c r="I8" s="73">
        <f>SUMPRODUCT(钣金件!$AG$7:$AG$506*钣金件!$AD$7:$AD$506)</f>
        <v/>
      </c>
      <c r="J8" s="73">
        <f>H8-I8</f>
        <v/>
      </c>
      <c r="K8" s="86">
        <f>IFERROR(J8/H8,"")</f>
        <v/>
      </c>
    </row>
    <row r="9" ht="15" customHeight="1" s="54">
      <c r="A9" s="10" t="inlineStr">
        <is>
          <t>焊接件</t>
        </is>
      </c>
      <c r="B9" s="10" t="inlineStr">
        <is>
          <t>焊接件</t>
        </is>
      </c>
      <c r="C9" s="19">
        <f>COUNTIF(焊接件!$C$7:$C$506,"&lt;&gt;")</f>
        <v/>
      </c>
      <c r="D9" s="19">
        <f>SUM(焊接件!$AG$7:$AG$506)</f>
        <v/>
      </c>
      <c r="E9" s="46">
        <f>SUMPRODUCT(焊接件!$AI$7:$AI$506,焊接件!$AG$7:$AG$506)</f>
        <v/>
      </c>
      <c r="F9" s="46">
        <f>SUMPRODUCT(焊接件!$AE$7:$AE$506,焊接件!$AG$7:$AG$506)</f>
        <v/>
      </c>
      <c r="G9" s="71">
        <f>SUM(焊接件!$AH$7:$AH$506)</f>
        <v/>
      </c>
      <c r="H9" s="73">
        <f>SUMPRODUCT((焊接件!$AJ$7:$AJ$506&lt;&gt;"")*焊接件!$AI$7:$AI$506*焊接件!$AG$7:$AG$506)</f>
        <v/>
      </c>
      <c r="I9" s="73">
        <f>SUMPRODUCT(焊接件!$AJ$7:$AJ$506*焊接件!$AG$7:$AG$506)</f>
        <v/>
      </c>
      <c r="J9" s="73">
        <f>H9-I9</f>
        <v/>
      </c>
      <c r="K9" s="86">
        <f>IFERROR(J9/H9,"")</f>
        <v/>
      </c>
    </row>
    <row r="10" ht="15" customHeight="1" s="54">
      <c r="A10" s="10" t="inlineStr">
        <is>
          <t>型材组装件</t>
        </is>
      </c>
      <c r="B10" s="10" t="inlineStr">
        <is>
          <t>型材组装件</t>
        </is>
      </c>
      <c r="C10" s="19">
        <f>COUNTIF(型材组装件!$C$7:$C$506,"&lt;&gt;")</f>
        <v/>
      </c>
      <c r="D10" s="19">
        <f>SUM(型材组装件!$AH$7:$AH$506)</f>
        <v/>
      </c>
      <c r="E10" s="46">
        <f>SUMPRODUCT(型材组装件!$AJ$7:$AJ$506,型材组装件!$AH$7:$AH$506)</f>
        <v/>
      </c>
      <c r="F10" s="46">
        <f>SUMPRODUCT(型材组装件!$AF$7:$AF$506,型材组装件!$AH$7:$AH$506)</f>
        <v/>
      </c>
      <c r="G10" s="71">
        <f>SUM(型材组装件!$AI$7:$AI$506)</f>
        <v/>
      </c>
      <c r="H10" s="73">
        <f>SUMPRODUCT((型材组装件!$AK$7:$AK$506&lt;&gt;"")*型材组装件!$AJ$7:$AJ$506*型材组装件!$AH$7:$AH$506)</f>
        <v/>
      </c>
      <c r="I10" s="73">
        <f>SUMPRODUCT(型材组装件!$AK$7:$AK$506*型材组装件!$AH$7:$AH$506)</f>
        <v/>
      </c>
      <c r="J10" s="73">
        <f>H10-I10</f>
        <v/>
      </c>
      <c r="K10" s="86">
        <f>IFERROR(J10/H10,"")</f>
        <v/>
      </c>
    </row>
    <row r="11" ht="15.6" customHeight="1" s="54">
      <c r="A11" s="11" t="inlineStr">
        <is>
          <t>合计</t>
        </is>
      </c>
      <c r="B11" s="77" t="inlineStr">
        <is>
          <t>四类</t>
        </is>
      </c>
      <c r="C11" s="78">
        <f>SUM(C7:C10)</f>
        <v/>
      </c>
      <c r="D11" s="78">
        <f>SUM(D7:D10)</f>
        <v/>
      </c>
      <c r="E11" s="76">
        <f>SUM(E7:E10)</f>
        <v/>
      </c>
      <c r="F11" s="76">
        <f>SUM(F7:F10)</f>
        <v/>
      </c>
      <c r="G11" s="76">
        <f>SUM(G7:G10)</f>
        <v/>
      </c>
      <c r="H11" s="76">
        <f>SUM(H7:H10)</f>
        <v/>
      </c>
      <c r="I11" s="76">
        <f>SUM(I7:I10)</f>
        <v/>
      </c>
      <c r="J11" s="76">
        <f>H11-I11</f>
        <v/>
      </c>
      <c r="K11" s="76">
        <f>IFERROR(J11/H11,"")</f>
        <v/>
      </c>
    </row>
    <row r="12" ht="15" customHeight="1" s="54">
      <c r="A12" s="75" t="inlineStr">
        <is>
          <t>说明</t>
        </is>
      </c>
      <c r="B12" s="79" t="inlineStr">
        <is>
          <t>统计范围预留500行；可比AI预估仅统计已填写厂商报价的行。差价=可比AI预估未税−厂商报价未税，正值表示AI预估较高。</t>
        </is>
      </c>
      <c r="C12" s="80" t="n"/>
      <c r="D12" s="80" t="n"/>
      <c r="E12" s="80" t="n"/>
      <c r="F12" s="80" t="n"/>
      <c r="G12" s="80" t="n"/>
      <c r="H12" s="81" t="n"/>
      <c r="I12" s="81" t="n"/>
      <c r="J12" s="81" t="n"/>
      <c r="K12" s="82" t="n"/>
    </row>
  </sheetData>
  <mergeCells count="4">
    <mergeCell ref="A2:K2"/>
    <mergeCell ref="A1:K1"/>
    <mergeCell ref="A5:K5"/>
    <mergeCell ref="A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6" tint="0.5999633777886288"/>
    <outlinePr summaryBelow="1" summaryRight="1"/>
    <pageSetUpPr/>
  </sheetPr>
  <dimension ref="A1:AL12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8" defaultRowHeight="13.8"/>
  <cols>
    <col width="10.5" customWidth="1" style="54" min="1" max="1"/>
    <col width="12.69921875" customWidth="1" style="54" min="2" max="2"/>
    <col width="11.19921875" customWidth="1" style="54" min="3" max="3"/>
    <col width="8.19921875" customWidth="1" style="54" min="4" max="4"/>
    <col width="5.19921875" customWidth="1" style="54" min="5" max="5"/>
    <col width="7.296875" customWidth="1" style="54" min="6" max="6"/>
    <col width="6.09765625" customWidth="1" style="54" min="7" max="7"/>
    <col width="5.19921875" customWidth="1" style="54" min="8" max="9"/>
    <col width="5.19921875" customWidth="1" style="54" min="10" max="25"/>
    <col width="5.796875" customWidth="1" style="54" min="26" max="27"/>
    <col width="7" customWidth="1" style="54" min="28" max="32"/>
    <col width="7.09765625" customWidth="1" style="54" min="33" max="33"/>
    <col width="11.19921875" customWidth="1" style="54" min="34" max="34"/>
    <col width="18.59765625" customWidth="1" style="54" min="35" max="35"/>
    <col width="3" customWidth="1" style="54" min="36" max="36"/>
    <col width="6.8984375" customWidth="1" style="54" min="37" max="38"/>
  </cols>
  <sheetData>
    <row r="1" ht="31.95" customHeight="1" s="54">
      <c r="A1" s="62" t="inlineStr">
        <is>
          <t>公司名称</t>
        </is>
      </c>
    </row>
    <row r="2" ht="24" customHeight="1" s="54">
      <c r="A2" s="63" t="inlineStr">
        <is>
          <t>加工件报价计算（自动增行版）</t>
        </is>
      </c>
    </row>
    <row r="3" ht="30" customHeight="1" s="54">
      <c r="A3" s="56" t="inlineStr">
        <is>
          <t>完全参照加工件源模板：材料重量=密度×备料长×宽×高；工序输入×对应费率；税率取基础参数。每张图纸一行。</t>
        </is>
      </c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  <c r="AI3" s="83" t="n"/>
      <c r="AJ3" s="83" t="n"/>
      <c r="AK3" s="83" t="n"/>
      <c r="AL3" s="83" t="n"/>
    </row>
    <row r="4">
      <c r="A4" s="58" t="inlineStr">
        <is>
          <t>基本信息</t>
        </is>
      </c>
      <c r="B4" s="84" t="n"/>
      <c r="C4" s="84" t="n"/>
      <c r="D4" s="85" t="n"/>
      <c r="E4" s="58" t="inlineStr">
        <is>
          <t>材料</t>
        </is>
      </c>
      <c r="F4" s="84" t="n"/>
      <c r="G4" s="84" t="n"/>
      <c r="H4" s="84" t="n"/>
      <c r="I4" s="84" t="n"/>
      <c r="J4" s="84" t="n"/>
      <c r="K4" s="84" t="n"/>
      <c r="L4" s="85" t="n"/>
      <c r="M4" s="59" t="inlineStr">
        <is>
          <t>加工/表面处理输入</t>
        </is>
      </c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5" t="n"/>
      <c r="AB4" s="60" t="inlineStr">
        <is>
          <t>报价结果</t>
        </is>
      </c>
      <c r="AC4" s="84" t="n"/>
      <c r="AD4" s="84" t="n"/>
      <c r="AE4" s="84" t="n"/>
      <c r="AF4" s="84" t="n"/>
      <c r="AG4" s="85" t="n"/>
      <c r="AH4" s="61" t="inlineStr">
        <is>
          <t>人工复核</t>
        </is>
      </c>
      <c r="AI4" s="85" t="n"/>
      <c r="AK4" s="65" t="inlineStr">
        <is>
          <t>报价对比</t>
        </is>
      </c>
      <c r="AL4" s="85" t="n"/>
    </row>
    <row r="5" ht="14.4" customHeight="1" s="54">
      <c r="A5" s="64" t="inlineStr">
        <is>
          <t>操作：在表格最后一行的下一行输入“产品图号”，Excel会自动增加一行并复制公式、格式和下拉选项。蓝色/橙色为输入，绿色为公式结果。；差价=AI预估未税−厂商报价(未税)，正值表示AI预估较高。</t>
        </is>
      </c>
    </row>
    <row r="6" ht="48" customHeight="1" s="54">
      <c r="A6" s="4" t="inlineStr">
        <is>
          <t>序号</t>
        </is>
      </c>
      <c r="B6" s="4" t="inlineStr">
        <is>
          <t>专案代码</t>
        </is>
      </c>
      <c r="C6" s="4" t="inlineStr">
        <is>
          <t>产品图号</t>
        </is>
      </c>
      <c r="D6" s="4" t="inlineStr">
        <is>
          <t>材质</t>
        </is>
      </c>
      <c r="E6" s="4" t="inlineStr">
        <is>
          <t>材料单价</t>
        </is>
      </c>
      <c r="F6" s="4" t="inlineStr">
        <is>
          <t>密度</t>
        </is>
      </c>
      <c r="G6" s="4" t="inlineStr">
        <is>
          <t>备料长mm</t>
        </is>
      </c>
      <c r="H6" s="4" t="inlineStr">
        <is>
          <t>备料宽mm</t>
        </is>
      </c>
      <c r="I6" s="4" t="inlineStr">
        <is>
          <t>备料高mm</t>
        </is>
      </c>
      <c r="J6" s="4" t="inlineStr">
        <is>
          <t>单位</t>
        </is>
      </c>
      <c r="K6" s="4" t="inlineStr">
        <is>
          <t>材料重量kg</t>
        </is>
      </c>
      <c r="L6" s="4" t="inlineStr">
        <is>
          <t>材料费</t>
        </is>
      </c>
      <c r="M6" s="4" t="inlineStr">
        <is>
          <t>车床h</t>
        </is>
      </c>
      <c r="N6" s="4" t="inlineStr">
        <is>
          <t>铣床h</t>
        </is>
      </c>
      <c r="O6" s="4" t="inlineStr">
        <is>
          <t>磨床h</t>
        </is>
      </c>
      <c r="P6" s="4" t="inlineStr">
        <is>
          <t>钳工h</t>
        </is>
      </c>
      <c r="Q6" s="4" t="inlineStr">
        <is>
          <t>其它h</t>
        </is>
      </c>
      <c r="R6" s="4" t="inlineStr">
        <is>
          <t>放电h</t>
        </is>
      </c>
      <c r="S6" s="4" t="inlineStr">
        <is>
          <t>快丝h</t>
        </is>
      </c>
      <c r="T6" s="4" t="inlineStr">
        <is>
          <t>慢丝h</t>
        </is>
      </c>
      <c r="U6" s="4" t="inlineStr">
        <is>
          <t>夹头/治具费</t>
        </is>
      </c>
      <c r="V6" s="4" t="inlineStr">
        <is>
          <t>精雕机h</t>
        </is>
      </c>
      <c r="W6" s="4" t="inlineStr">
        <is>
          <t>CNC h</t>
        </is>
      </c>
      <c r="X6" s="4" t="inlineStr">
        <is>
          <t>镀铬kg</t>
        </is>
      </c>
      <c r="Y6" s="4" t="inlineStr">
        <is>
          <t>热处理kg</t>
        </is>
      </c>
      <c r="Z6" s="4" t="inlineStr">
        <is>
          <t>阳极kg</t>
        </is>
      </c>
      <c r="AA6" s="4" t="inlineStr">
        <is>
          <t>发黑kg</t>
        </is>
      </c>
      <c r="AB6" s="4" t="inlineStr">
        <is>
          <t>税金</t>
        </is>
      </c>
      <c r="AC6" s="4" t="inlineStr">
        <is>
          <t>含税单价</t>
        </is>
      </c>
      <c r="AD6" s="4" t="inlineStr">
        <is>
          <t>数量</t>
        </is>
      </c>
      <c r="AE6" s="4" t="inlineStr">
        <is>
          <t>含税总价</t>
        </is>
      </c>
      <c r="AF6" s="4" t="inlineStr">
        <is>
          <t>未税单价</t>
        </is>
      </c>
      <c r="AG6" s="4" t="inlineStr">
        <is>
          <t>厂商报价(未税)</t>
        </is>
      </c>
      <c r="AH6" s="4" t="inlineStr">
        <is>
          <t>复核状态</t>
        </is>
      </c>
      <c r="AI6" s="4" t="inlineStr">
        <is>
          <t>备注</t>
        </is>
      </c>
      <c r="AK6" s="72" t="inlineStr">
        <is>
          <t>差价</t>
        </is>
      </c>
      <c r="AL6" s="72" t="inlineStr">
        <is>
          <t>占比</t>
        </is>
      </c>
    </row>
    <row r="7" ht="28.05" customHeight="1" s="54">
      <c r="A7" s="41">
        <f>IF($C7="","",ROW()-6)</f>
        <v/>
      </c>
      <c r="B7" s="21" t="inlineStr">
        <is>
          <t>UC1002001640</t>
        </is>
      </c>
      <c r="C7" s="21" t="inlineStr">
        <is>
          <t>R002</t>
        </is>
      </c>
      <c r="D7" s="21" t="inlineStr">
        <is>
          <t>A6061T6</t>
        </is>
      </c>
      <c r="E7" s="24">
        <f>IF($C7="","",IFERROR(VLOOKUP($D7,基础参数!$A$6:$C$22,2,FALSE),""))</f>
        <v/>
      </c>
      <c r="F7" s="25">
        <f>IF($C7="","",IFERROR(VLOOKUP($D7,基础参数!$A$6:$C$22,3,FALSE),""))</f>
        <v/>
      </c>
      <c r="G7" s="21" t="n">
        <v>125</v>
      </c>
      <c r="H7" s="21" t="n">
        <v>95</v>
      </c>
      <c r="I7" s="21" t="n">
        <v>12</v>
      </c>
      <c r="J7" s="21" t="inlineStr">
        <is>
          <t>KG</t>
        </is>
      </c>
      <c r="K7" s="87">
        <f>IF($C7="","",$F7*$G7*$H7*$I7)</f>
        <v/>
      </c>
      <c r="L7" s="24">
        <f>IF($C7="","",$E7*$K7)</f>
        <v/>
      </c>
      <c r="M7" s="27" t="n">
        <v>0</v>
      </c>
      <c r="N7" s="27" t="n">
        <v>0</v>
      </c>
      <c r="O7" s="27" t="n">
        <v>0</v>
      </c>
      <c r="P7" s="27" t="n">
        <v>0</v>
      </c>
      <c r="Q7" s="27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1.5</v>
      </c>
      <c r="X7" s="27" t="n">
        <v>0</v>
      </c>
      <c r="Y7" s="27" t="n">
        <v>0</v>
      </c>
      <c r="Z7" s="27" t="n">
        <v>0.39</v>
      </c>
      <c r="AA7" s="27" t="n">
        <v>0</v>
      </c>
      <c r="AB7" s="22">
        <f>IF($C7="","",$AF7*基础参数!$N$6)</f>
        <v/>
      </c>
      <c r="AC7" s="22">
        <f>IF($C7="","",$AF7+$AB7)</f>
        <v/>
      </c>
      <c r="AD7" s="28" t="n">
        <v>1</v>
      </c>
      <c r="AE7" s="22">
        <f>IF($C7="","",$AC7*$AD7)</f>
        <v/>
      </c>
      <c r="AF7" s="22">
        <f>IF($C7="","",($L7+$M7*VLOOKUP("LATHE",基础参数!$F$6:$I$30,4,FALSE)+$N7*VLOOKUP("MILL",基础参数!$F$6:$I$30,4,FALSE)+$O7*VLOOKUP("GRIND",基础参数!$F$6:$I$30,4,FALSE)+$P7*VLOOKUP("FITTER",基础参数!$F$6:$I$30,4,FALSE)+$Q7*VLOOKUP("OTHER",基础参数!$F$6:$I$30,4,FALSE)+$R7*VLOOKUP("EDM",基础参数!$F$6:$I$30,4,FALSE)+$S7*VLOOKUP("WIRE_FAST",基础参数!$F$6:$I$30,4,FALSE)+$T7*VLOOKUP("WIRE_SLOW",基础参数!$F$6:$I$30,4,FALSE)+$U7+$V7*VLOOKUP("ENGRAVE",基础参数!$F$6:$I$30,4,FALSE)+$W7*VLOOKUP("CNC",基础参数!$F$6:$I$30,4,FALSE)+$X7*VLOOKUP("CHROME",基础参数!$F$6:$I$30,4,FALSE)+$Y7*VLOOKUP("HEAT",基础参数!$F$6:$I$30,4,FALSE)+$Z7*VLOOKUP("ANODIZE",基础参数!$F$6:$I$30,4,FALSE)+$AA7*VLOOKUP("BLACK",基础参数!$F$6:$I$30,4,FALSE))*(1+基础参数!$N$7))</f>
        <v/>
      </c>
      <c r="AG7" s="35" t="n"/>
      <c r="AH7" s="29" t="inlineStr">
        <is>
          <t>待复核</t>
        </is>
      </c>
      <c r="AI7" s="21" t="inlineStr">
        <is>
          <t>示例与源模板R002一致；备料尺寸需人工确认</t>
        </is>
      </c>
      <c r="AK7" s="73">
        <f>IF(OR($C7="",AG7=""),"",AF7-AG7)</f>
        <v/>
      </c>
      <c r="AL7" s="86">
        <f>IFERROR(AK7/AF7,"")</f>
        <v/>
      </c>
    </row>
    <row r="8" ht="28.05" customHeight="1" s="54">
      <c r="A8" s="41">
        <f>IF($C8="","",ROW()-6)</f>
        <v/>
      </c>
      <c r="B8" s="21" t="n"/>
      <c r="C8" s="21" t="n"/>
      <c r="D8" s="21" t="n"/>
      <c r="E8" s="24">
        <f>IF($C8="","",IFERROR(VLOOKUP($D8,基础参数!$A$6:$C$22,2,FALSE),""))</f>
        <v/>
      </c>
      <c r="F8" s="25">
        <f>IF($C8="","",IFERROR(VLOOKUP($D8,基础参数!$A$6:$C$22,3,FALSE),""))</f>
        <v/>
      </c>
      <c r="G8" s="21" t="n"/>
      <c r="H8" s="21" t="n"/>
      <c r="I8" s="21" t="n"/>
      <c r="J8" s="21" t="n"/>
      <c r="K8" s="87">
        <f>IF($C8="","",$F8*$G8*$H8*$I8)</f>
        <v/>
      </c>
      <c r="L8" s="24">
        <f>IF($C8="","",$E8*$K8)</f>
        <v/>
      </c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2">
        <f>IF($C8="","",$AF8*基础参数!$N$6)</f>
        <v/>
      </c>
      <c r="AC8" s="22">
        <f>IF($C8="","",$AF8+$AB8)</f>
        <v/>
      </c>
      <c r="AD8" s="28" t="n"/>
      <c r="AE8" s="22">
        <f>IF($C8="","",$AC8*$AD8)</f>
        <v/>
      </c>
      <c r="AF8" s="22">
        <f>IF($C8="","",($L8+$M8*VLOOKUP("LATHE",基础参数!$F$6:$I$30,4,FALSE)+$N8*VLOOKUP("MILL",基础参数!$F$6:$I$30,4,FALSE)+$O8*VLOOKUP("GRIND",基础参数!$F$6:$I$30,4,FALSE)+$P8*VLOOKUP("FITTER",基础参数!$F$6:$I$30,4,FALSE)+$Q8*VLOOKUP("OTHER",基础参数!$F$6:$I$30,4,FALSE)+$R8*VLOOKUP("EDM",基础参数!$F$6:$I$30,4,FALSE)+$S8*VLOOKUP("WIRE_FAST",基础参数!$F$6:$I$30,4,FALSE)+$T8*VLOOKUP("WIRE_SLOW",基础参数!$F$6:$I$30,4,FALSE)+$U8+$V8*VLOOKUP("ENGRAVE",基础参数!$F$6:$I$30,4,FALSE)+$W8*VLOOKUP("CNC",基础参数!$F$6:$I$30,4,FALSE)+$X8*VLOOKUP("CHROME",基础参数!$F$6:$I$30,4,FALSE)+$Y8*VLOOKUP("HEAT",基础参数!$F$6:$I$30,4,FALSE)+$Z8*VLOOKUP("ANODIZE",基础参数!$F$6:$I$30,4,FALSE)+$AA8*VLOOKUP("BLACK",基础参数!$F$6:$I$30,4,FALSE))*(1+基础参数!$N$7))</f>
        <v/>
      </c>
      <c r="AG8" s="35" t="n"/>
      <c r="AH8" s="29" t="n"/>
      <c r="AI8" s="21" t="n"/>
      <c r="AK8" s="73">
        <f>IF(OR($C8="",AG8=""),"",AF8-AG8)</f>
        <v/>
      </c>
      <c r="AL8" s="86">
        <f>IFERROR(AK8/AF8,"")</f>
        <v/>
      </c>
    </row>
    <row r="9" ht="28.05" customHeight="1" s="54">
      <c r="A9" s="41">
        <f>IF($C9="","",ROW()-6)</f>
        <v/>
      </c>
      <c r="B9" s="21" t="n"/>
      <c r="C9" s="21" t="n"/>
      <c r="D9" s="21" t="n"/>
      <c r="E9" s="24">
        <f>IF($C9="","",IFERROR(VLOOKUP($D9,基础参数!$A$6:$C$22,2,FALSE),""))</f>
        <v/>
      </c>
      <c r="F9" s="25">
        <f>IF($C9="","",IFERROR(VLOOKUP($D9,基础参数!$A$6:$C$22,3,FALSE),""))</f>
        <v/>
      </c>
      <c r="G9" s="21" t="n"/>
      <c r="H9" s="21" t="n"/>
      <c r="I9" s="21" t="n"/>
      <c r="J9" s="21" t="n"/>
      <c r="K9" s="87">
        <f>IF($C9="","",$F9*$G9*$H9*$I9)</f>
        <v/>
      </c>
      <c r="L9" s="24">
        <f>IF($C9="","",$E9*$K9)</f>
        <v/>
      </c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2">
        <f>IF($C9="","",$AF9*基础参数!$N$6)</f>
        <v/>
      </c>
      <c r="AC9" s="22">
        <f>IF($C9="","",$AF9+$AB9)</f>
        <v/>
      </c>
      <c r="AD9" s="28" t="n"/>
      <c r="AE9" s="22">
        <f>IF($C9="","",$AC9*$AD9)</f>
        <v/>
      </c>
      <c r="AF9" s="22">
        <f>IF($C9="","",($L9+$M9*VLOOKUP("LATHE",基础参数!$F$6:$I$30,4,FALSE)+$N9*VLOOKUP("MILL",基础参数!$F$6:$I$30,4,FALSE)+$O9*VLOOKUP("GRIND",基础参数!$F$6:$I$30,4,FALSE)+$P9*VLOOKUP("FITTER",基础参数!$F$6:$I$30,4,FALSE)+$Q9*VLOOKUP("OTHER",基础参数!$F$6:$I$30,4,FALSE)+$R9*VLOOKUP("EDM",基础参数!$F$6:$I$30,4,FALSE)+$S9*VLOOKUP("WIRE_FAST",基础参数!$F$6:$I$30,4,FALSE)+$T9*VLOOKUP("WIRE_SLOW",基础参数!$F$6:$I$30,4,FALSE)+$U9+$V9*VLOOKUP("ENGRAVE",基础参数!$F$6:$I$30,4,FALSE)+$W9*VLOOKUP("CNC",基础参数!$F$6:$I$30,4,FALSE)+$X9*VLOOKUP("CHROME",基础参数!$F$6:$I$30,4,FALSE)+$Y9*VLOOKUP("HEAT",基础参数!$F$6:$I$30,4,FALSE)+$Z9*VLOOKUP("ANODIZE",基础参数!$F$6:$I$30,4,FALSE)+$AA9*VLOOKUP("BLACK",基础参数!$F$6:$I$30,4,FALSE))*(1+基础参数!$N$7))</f>
        <v/>
      </c>
      <c r="AG9" s="35" t="n"/>
      <c r="AH9" s="29" t="n"/>
      <c r="AI9" s="21" t="n"/>
      <c r="AK9" s="73">
        <f>IF(OR($C9="",AG9=""),"",AF9-AG9)</f>
        <v/>
      </c>
      <c r="AL9" s="86">
        <f>IFERROR(AK9/AF9,"")</f>
        <v/>
      </c>
    </row>
    <row r="10" ht="28.05" customHeight="1" s="54">
      <c r="A10" s="41">
        <f>IF($C10="","",ROW()-6)</f>
        <v/>
      </c>
      <c r="B10" s="21" t="n"/>
      <c r="C10" s="21" t="n"/>
      <c r="D10" s="21" t="n"/>
      <c r="E10" s="24">
        <f>IF($C10="","",IFERROR(VLOOKUP($D10,基础参数!$A$6:$C$22,2,FALSE),""))</f>
        <v/>
      </c>
      <c r="F10" s="25">
        <f>IF($C10="","",IFERROR(VLOOKUP($D10,基础参数!$A$6:$C$22,3,FALSE),""))</f>
        <v/>
      </c>
      <c r="G10" s="21" t="n"/>
      <c r="H10" s="21" t="n"/>
      <c r="I10" s="21" t="n"/>
      <c r="J10" s="21" t="n"/>
      <c r="K10" s="87">
        <f>IF($C10="","",$F10*$G10*$H10*$I10)</f>
        <v/>
      </c>
      <c r="L10" s="24">
        <f>IF($C10="","",$E10*$K10)</f>
        <v/>
      </c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2">
        <f>IF($C10="","",$AF10*基础参数!$N$6)</f>
        <v/>
      </c>
      <c r="AC10" s="22">
        <f>IF($C10="","",$AF10+$AB10)</f>
        <v/>
      </c>
      <c r="AD10" s="28" t="n"/>
      <c r="AE10" s="22">
        <f>IF($C10="","",$AC10*$AD10)</f>
        <v/>
      </c>
      <c r="AF10" s="22">
        <f>IF($C10="","",($L10+$M10*VLOOKUP("LATHE",基础参数!$F$6:$I$30,4,FALSE)+$N10*VLOOKUP("MILL",基础参数!$F$6:$I$30,4,FALSE)+$O10*VLOOKUP("GRIND",基础参数!$F$6:$I$30,4,FALSE)+$P10*VLOOKUP("FITTER",基础参数!$F$6:$I$30,4,FALSE)+$Q10*VLOOKUP("OTHER",基础参数!$F$6:$I$30,4,FALSE)+$R10*VLOOKUP("EDM",基础参数!$F$6:$I$30,4,FALSE)+$S10*VLOOKUP("WIRE_FAST",基础参数!$F$6:$I$30,4,FALSE)+$T10*VLOOKUP("WIRE_SLOW",基础参数!$F$6:$I$30,4,FALSE)+$U10+$V10*VLOOKUP("ENGRAVE",基础参数!$F$6:$I$30,4,FALSE)+$W10*VLOOKUP("CNC",基础参数!$F$6:$I$30,4,FALSE)+$X10*VLOOKUP("CHROME",基础参数!$F$6:$I$30,4,FALSE)+$Y10*VLOOKUP("HEAT",基础参数!$F$6:$I$30,4,FALSE)+$Z10*VLOOKUP("ANODIZE",基础参数!$F$6:$I$30,4,FALSE)+$AA10*VLOOKUP("BLACK",基础参数!$F$6:$I$30,4,FALSE))*(1+基础参数!$N$7))</f>
        <v/>
      </c>
      <c r="AG10" s="35" t="n"/>
      <c r="AH10" s="29" t="n"/>
      <c r="AI10" s="21" t="n"/>
      <c r="AK10" s="73">
        <f>IF(OR($C10="",AG10=""),"",AF10-AG10)</f>
        <v/>
      </c>
      <c r="AL10" s="86">
        <f>IFERROR(AK10/AF10,"")</f>
        <v/>
      </c>
    </row>
    <row r="11" ht="28.05" customHeight="1" s="54">
      <c r="A11" s="41">
        <f>IF($C11="","",ROW()-6)</f>
        <v/>
      </c>
      <c r="B11" s="21" t="n"/>
      <c r="C11" s="21" t="n"/>
      <c r="D11" s="21" t="n"/>
      <c r="E11" s="24">
        <f>IF($C11="","",IFERROR(VLOOKUP($D11,基础参数!$A$6:$C$22,2,FALSE),""))</f>
        <v/>
      </c>
      <c r="F11" s="25">
        <f>IF($C11="","",IFERROR(VLOOKUP($D11,基础参数!$A$6:$C$22,3,FALSE),""))</f>
        <v/>
      </c>
      <c r="G11" s="21" t="n"/>
      <c r="H11" s="21" t="n"/>
      <c r="I11" s="21" t="n"/>
      <c r="J11" s="21" t="n"/>
      <c r="K11" s="87">
        <f>IF($C11="","",$F11*$G11*$H11*$I11)</f>
        <v/>
      </c>
      <c r="L11" s="24">
        <f>IF($C11="","",$E11*$K11)</f>
        <v/>
      </c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2">
        <f>IF($C11="","",$AF11*基础参数!$N$6)</f>
        <v/>
      </c>
      <c r="AC11" s="22">
        <f>IF($C11="","",$AF11+$AB11)</f>
        <v/>
      </c>
      <c r="AD11" s="28" t="n"/>
      <c r="AE11" s="22">
        <f>IF($C11="","",$AC11*$AD11)</f>
        <v/>
      </c>
      <c r="AF11" s="22">
        <f>IF($C11="","",($L11+$M11*VLOOKUP("LATHE",基础参数!$F$6:$I$30,4,FALSE)+$N11*VLOOKUP("MILL",基础参数!$F$6:$I$30,4,FALSE)+$O11*VLOOKUP("GRIND",基础参数!$F$6:$I$30,4,FALSE)+$P11*VLOOKUP("FITTER",基础参数!$F$6:$I$30,4,FALSE)+$Q11*VLOOKUP("OTHER",基础参数!$F$6:$I$30,4,FALSE)+$R11*VLOOKUP("EDM",基础参数!$F$6:$I$30,4,FALSE)+$S11*VLOOKUP("WIRE_FAST",基础参数!$F$6:$I$30,4,FALSE)+$T11*VLOOKUP("WIRE_SLOW",基础参数!$F$6:$I$30,4,FALSE)+$U11+$V11*VLOOKUP("ENGRAVE",基础参数!$F$6:$I$30,4,FALSE)+$W11*VLOOKUP("CNC",基础参数!$F$6:$I$30,4,FALSE)+$X11*VLOOKUP("CHROME",基础参数!$F$6:$I$30,4,FALSE)+$Y11*VLOOKUP("HEAT",基础参数!$F$6:$I$30,4,FALSE)+$Z11*VLOOKUP("ANODIZE",基础参数!$F$6:$I$30,4,FALSE)+$AA11*VLOOKUP("BLACK",基础参数!$F$6:$I$30,4,FALSE))*(1+基础参数!$N$7))</f>
        <v/>
      </c>
      <c r="AG11" s="35" t="n"/>
      <c r="AH11" s="29" t="n"/>
      <c r="AI11" s="21" t="n"/>
      <c r="AK11" s="73">
        <f>IF(OR($C11="",AG11=""),"",AF11-AG11)</f>
        <v/>
      </c>
      <c r="AL11" s="86">
        <f>IFERROR(AK11/AF11,"")</f>
        <v/>
      </c>
    </row>
    <row r="12" ht="28.05" customHeight="1" s="54">
      <c r="A12" s="41">
        <f>IF($C12="","",ROW()-6)</f>
        <v/>
      </c>
      <c r="B12" s="21" t="n"/>
      <c r="C12" s="21" t="n"/>
      <c r="D12" s="21" t="n"/>
      <c r="E12" s="24">
        <f>IF($C12="","",IFERROR(VLOOKUP($D12,基础参数!$A$6:$C$22,2,FALSE),""))</f>
        <v/>
      </c>
      <c r="F12" s="25">
        <f>IF($C12="","",IFERROR(VLOOKUP($D12,基础参数!$A$6:$C$22,3,FALSE),""))</f>
        <v/>
      </c>
      <c r="G12" s="21" t="n"/>
      <c r="H12" s="21" t="n"/>
      <c r="I12" s="21" t="n"/>
      <c r="J12" s="21" t="n"/>
      <c r="K12" s="87">
        <f>IF($C12="","",$F12*$G12*$H12*$I12)</f>
        <v/>
      </c>
      <c r="L12" s="24">
        <f>IF($C12="","",$E12*$K12)</f>
        <v/>
      </c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2">
        <f>IF($C12="","",$AF12*基础参数!$N$6)</f>
        <v/>
      </c>
      <c r="AC12" s="22">
        <f>IF($C12="","",$AF12+$AB12)</f>
        <v/>
      </c>
      <c r="AD12" s="28" t="n"/>
      <c r="AE12" s="22">
        <f>IF($C12="","",$AC12*$AD12)</f>
        <v/>
      </c>
      <c r="AF12" s="22">
        <f>IF($C12="","",($L12+$M12*VLOOKUP("LATHE",基础参数!$F$6:$I$30,4,FALSE)+$N12*VLOOKUP("MILL",基础参数!$F$6:$I$30,4,FALSE)+$O12*VLOOKUP("GRIND",基础参数!$F$6:$I$30,4,FALSE)+$P12*VLOOKUP("FITTER",基础参数!$F$6:$I$30,4,FALSE)+$Q12*VLOOKUP("OTHER",基础参数!$F$6:$I$30,4,FALSE)+$R12*VLOOKUP("EDM",基础参数!$F$6:$I$30,4,FALSE)+$S12*VLOOKUP("WIRE_FAST",基础参数!$F$6:$I$30,4,FALSE)+$T12*VLOOKUP("WIRE_SLOW",基础参数!$F$6:$I$30,4,FALSE)+$U12+$V12*VLOOKUP("ENGRAVE",基础参数!$F$6:$I$30,4,FALSE)+$W12*VLOOKUP("CNC",基础参数!$F$6:$I$30,4,FALSE)+$X12*VLOOKUP("CHROME",基础参数!$F$6:$I$30,4,FALSE)+$Y12*VLOOKUP("HEAT",基础参数!$F$6:$I$30,4,FALSE)+$Z12*VLOOKUP("ANODIZE",基础参数!$F$6:$I$30,4,FALSE)+$AA12*VLOOKUP("BLACK",基础参数!$F$6:$I$30,4,FALSE))*(1+基础参数!$N$7))</f>
        <v/>
      </c>
      <c r="AG12" s="35" t="n"/>
      <c r="AH12" s="29" t="n"/>
      <c r="AI12" s="21" t="n"/>
      <c r="AK12" s="73">
        <f>IF(OR($C12="",AG12=""),"",AF12-AG12)</f>
        <v/>
      </c>
      <c r="AL12" s="86">
        <f>IFERROR(AK12/AF12,"")</f>
        <v/>
      </c>
    </row>
  </sheetData>
  <mergeCells count="10">
    <mergeCell ref="AK4:AL4"/>
    <mergeCell ref="E4:L4"/>
    <mergeCell ref="AH4:AI4"/>
    <mergeCell ref="A5:AL5"/>
    <mergeCell ref="A4:D4"/>
    <mergeCell ref="A1:AL1"/>
    <mergeCell ref="A3:AL3"/>
    <mergeCell ref="M4:AA4"/>
    <mergeCell ref="AB4:AG4"/>
    <mergeCell ref="A2:AL2"/>
  </mergeCells>
  <dataValidations count="2">
    <dataValidation sqref="AD7:AD12" showDropDown="0" showInputMessage="0" showErrorMessage="0" allowBlank="0" type="whole" operator="greaterThanOrEqual">
      <formula1>1</formula1>
    </dataValidation>
    <dataValidation sqref="AH7:AH12" showDropDown="0" showInputMessage="0" showErrorMessage="0" allowBlank="0" type="list">
      <formula1>"无需复核,待复核,高风险"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6" tint="0.5999633777886288"/>
    <outlinePr summaryBelow="1" summaryRight="1"/>
    <pageSetUpPr/>
  </sheetPr>
  <dimension ref="A1:AL12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8" defaultRowHeight="13.8"/>
  <cols>
    <col width="11" customWidth="1" style="54" min="1" max="1"/>
    <col width="18" customWidth="1" style="54" min="2" max="3"/>
    <col width="6.59765625" customWidth="1" style="54" min="4" max="5"/>
    <col width="7.69921875" customWidth="1" style="54" min="6" max="6"/>
    <col width="6.59765625" customWidth="1" style="54" min="7" max="27"/>
    <col width="10.59765625" customWidth="1" style="54" min="28" max="29"/>
    <col width="5.3984375" customWidth="1" style="54" min="30" max="30"/>
    <col width="10.59765625" customWidth="1" style="54" min="31" max="32"/>
    <col width="9.59765625" customWidth="1" style="54" min="33" max="33"/>
    <col width="12.5" customWidth="1" style="54" min="34" max="34"/>
    <col width="14" customWidth="1" style="54" min="35" max="35"/>
    <col width="3" customWidth="1" style="54" min="36" max="36"/>
    <col width="6.3984375" customWidth="1" style="54" min="37" max="38"/>
  </cols>
  <sheetData>
    <row r="1" ht="31.95" customHeight="1" s="54">
      <c r="A1" s="66" t="inlineStr">
        <is>
          <t>公司名称</t>
        </is>
      </c>
    </row>
    <row r="2" ht="24" customHeight="1" s="54">
      <c r="A2" s="67" t="inlineStr">
        <is>
          <t>钣金件报价计算（自动增行版）</t>
        </is>
      </c>
    </row>
    <row r="3" ht="30" customHeight="1" s="54">
      <c r="A3" s="56" t="inlineStr">
        <is>
          <t>与加工件相同的报价表达：材料费+工序费+外购/外协费=未税单价，再计算税金、含税单价和总价。每张图纸一行。</t>
        </is>
      </c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  <c r="AI3" s="83" t="n"/>
      <c r="AJ3" s="83" t="n"/>
      <c r="AK3" s="83" t="n"/>
      <c r="AL3" s="83" t="n"/>
    </row>
    <row r="4">
      <c r="A4" s="58" t="inlineStr">
        <is>
          <t>基本信息</t>
        </is>
      </c>
      <c r="B4" s="84" t="n"/>
      <c r="C4" s="84" t="n"/>
      <c r="D4" s="85" t="n"/>
      <c r="E4" s="58" t="inlineStr">
        <is>
          <t>材料</t>
        </is>
      </c>
      <c r="F4" s="84" t="n"/>
      <c r="G4" s="84" t="n"/>
      <c r="H4" s="84" t="n"/>
      <c r="I4" s="84" t="n"/>
      <c r="J4" s="84" t="n"/>
      <c r="K4" s="84" t="n"/>
      <c r="L4" s="85" t="n"/>
      <c r="M4" s="59" t="inlineStr">
        <is>
          <t>切割/折弯/辅料输入</t>
        </is>
      </c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5" t="n"/>
      <c r="AB4" s="60" t="inlineStr">
        <is>
          <t>报价结果</t>
        </is>
      </c>
      <c r="AC4" s="84" t="n"/>
      <c r="AD4" s="84" t="n"/>
      <c r="AE4" s="84" t="n"/>
      <c r="AF4" s="84" t="n"/>
      <c r="AG4" s="85" t="n"/>
      <c r="AH4" s="61" t="inlineStr">
        <is>
          <t>人工复核</t>
        </is>
      </c>
      <c r="AI4" s="85" t="n"/>
      <c r="AK4" s="65" t="inlineStr">
        <is>
          <t>报价对比</t>
        </is>
      </c>
      <c r="AL4" s="85" t="n"/>
    </row>
    <row r="5" ht="14.4" customHeight="1" s="54">
      <c r="A5" s="64" t="inlineStr">
        <is>
          <t>材料用量=展开面积×板厚×密度÷材料利用率；切割费同时考虑切割长度、穿孔和批次准备；折弯费同时考虑折弯数和批次换模。；差价=AI预估未税−厂商报价(未税)，正值表示AI预估较高。</t>
        </is>
      </c>
    </row>
    <row r="6" ht="48" customHeight="1" s="54">
      <c r="A6" s="4" t="inlineStr">
        <is>
          <t>序号</t>
        </is>
      </c>
      <c r="B6" s="4" t="inlineStr">
        <is>
          <t>专案代码</t>
        </is>
      </c>
      <c r="C6" s="4" t="inlineStr">
        <is>
          <t>产品图号</t>
        </is>
      </c>
      <c r="D6" s="4" t="inlineStr">
        <is>
          <t>材质</t>
        </is>
      </c>
      <c r="E6" s="4" t="inlineStr">
        <is>
          <t>材料单价</t>
        </is>
      </c>
      <c r="F6" s="4" t="inlineStr">
        <is>
          <t>密度</t>
        </is>
      </c>
      <c r="G6" s="4" t="inlineStr">
        <is>
          <t>展开面积m²</t>
        </is>
      </c>
      <c r="H6" s="4" t="inlineStr">
        <is>
          <t>板厚mm</t>
        </is>
      </c>
      <c r="I6" s="4" t="inlineStr">
        <is>
          <t>材料利用率</t>
        </is>
      </c>
      <c r="J6" s="4" t="inlineStr">
        <is>
          <t>单位</t>
        </is>
      </c>
      <c r="K6" s="4" t="inlineStr">
        <is>
          <t>材料用量kg</t>
        </is>
      </c>
      <c r="L6" s="4" t="inlineStr">
        <is>
          <t>材料费</t>
        </is>
      </c>
      <c r="M6" s="4" t="inlineStr">
        <is>
          <t>切割长度m</t>
        </is>
      </c>
      <c r="N6" s="4" t="inlineStr">
        <is>
          <t>穿孔数</t>
        </is>
      </c>
      <c r="O6" s="4" t="inlineStr">
        <is>
          <t>切割速度m/min</t>
        </is>
      </c>
      <c r="P6" s="4" t="inlineStr">
        <is>
          <t>穿孔秒/次</t>
        </is>
      </c>
      <c r="Q6" s="4" t="inlineStr">
        <is>
          <t>切割准备h/批</t>
        </is>
      </c>
      <c r="R6" s="4" t="inlineStr">
        <is>
          <t>切割费</t>
        </is>
      </c>
      <c r="S6" s="4" t="inlineStr">
        <is>
          <t>折弯数</t>
        </is>
      </c>
      <c r="T6" s="4" t="inlineStr">
        <is>
          <t>单刀分钟</t>
        </is>
      </c>
      <c r="U6" s="4" t="inlineStr">
        <is>
          <t>折弯准备h/批</t>
        </is>
      </c>
      <c r="V6" s="4" t="inlineStr">
        <is>
          <t>折弯费</t>
        </is>
      </c>
      <c r="W6" s="4" t="inlineStr">
        <is>
          <t>五金/件</t>
        </is>
      </c>
      <c r="X6" s="4" t="inlineStr">
        <is>
          <t>手工分钟/件</t>
        </is>
      </c>
      <c r="Y6" s="4" t="inlineStr">
        <is>
          <t>手工费</t>
        </is>
      </c>
      <c r="Z6" s="4" t="inlineStr">
        <is>
          <t>表处费/件</t>
        </is>
      </c>
      <c r="AA6" s="4" t="inlineStr">
        <is>
          <t>其它费/件</t>
        </is>
      </c>
      <c r="AB6" s="4" t="inlineStr">
        <is>
          <t>税金</t>
        </is>
      </c>
      <c r="AC6" s="4" t="inlineStr">
        <is>
          <t>含税单价</t>
        </is>
      </c>
      <c r="AD6" s="4" t="inlineStr">
        <is>
          <t>数量</t>
        </is>
      </c>
      <c r="AE6" s="4" t="inlineStr">
        <is>
          <t>含税总价</t>
        </is>
      </c>
      <c r="AF6" s="4" t="inlineStr">
        <is>
          <t>未税单价</t>
        </is>
      </c>
      <c r="AG6" s="4" t="inlineStr">
        <is>
          <t>厂商报价(未税)</t>
        </is>
      </c>
      <c r="AH6" s="4" t="inlineStr">
        <is>
          <t>复核状态</t>
        </is>
      </c>
      <c r="AI6" s="4" t="inlineStr">
        <is>
          <t>备注</t>
        </is>
      </c>
      <c r="AK6" s="72" t="inlineStr">
        <is>
          <t>差价</t>
        </is>
      </c>
      <c r="AL6" s="72" t="inlineStr">
        <is>
          <t>占比</t>
        </is>
      </c>
    </row>
    <row r="7" ht="28.05" customHeight="1" s="54">
      <c r="A7" s="41">
        <f>IF($C7="","",ROW()-6)</f>
        <v/>
      </c>
      <c r="B7" s="30" t="inlineStr">
        <is>
          <t>SM</t>
        </is>
      </c>
      <c r="C7" s="30" t="inlineStr">
        <is>
          <t>SM-EX-001</t>
        </is>
      </c>
      <c r="D7" s="30" t="inlineStr">
        <is>
          <t>SUS304</t>
        </is>
      </c>
      <c r="E7" s="22">
        <f>IF($C7="","",IFERROR(VLOOKUP($D7,基础参数!$A$6:$C$22,2,FALSE),""))</f>
        <v/>
      </c>
      <c r="F7" s="23">
        <f>IF($C7="","",IFERROR(VLOOKUP($D7,基础参数!$A$6:$C$22,3,FALSE),""))</f>
        <v/>
      </c>
      <c r="G7" s="88" t="n">
        <v>0.06</v>
      </c>
      <c r="H7" s="30" t="n">
        <v>1.5</v>
      </c>
      <c r="I7" s="89" t="n">
        <v>0.78</v>
      </c>
      <c r="J7" s="30" t="inlineStr">
        <is>
          <t>件</t>
        </is>
      </c>
      <c r="K7" s="90">
        <f>IF($C7="","",IF($I7=0,"",$G7*1000000*$H7*$F7/$I7))</f>
        <v/>
      </c>
      <c r="L7" s="22">
        <f>IF($C7="","",$K7*$E7)</f>
        <v/>
      </c>
      <c r="M7" s="39" t="n">
        <v>1.8</v>
      </c>
      <c r="N7" s="39" t="n">
        <v>14</v>
      </c>
      <c r="O7" s="39" t="n">
        <v>3</v>
      </c>
      <c r="P7" s="39" t="n">
        <v>1.5</v>
      </c>
      <c r="Q7" s="39" t="n">
        <v>0.25</v>
      </c>
      <c r="R7" s="39">
        <f>IF($C7="","",IF($AD7=0,"",($Q7+$AD7*(($M7/$O7)+($N7*$P7/60))/60)*VLOOKUP("SM_LASER",基础参数!$F$6:$I$30,4,FALSE)/$AD7))</f>
        <v/>
      </c>
      <c r="S7" s="39" t="n">
        <v>4</v>
      </c>
      <c r="T7" s="39" t="n">
        <v>0.35</v>
      </c>
      <c r="U7" s="39" t="n">
        <v>0.25</v>
      </c>
      <c r="V7" s="39">
        <f>IF($C7="","",IF($AD7=0,"",($U7+$AD7*$S7*$T7/60)*VLOOKUP("SM_BEND",基础参数!$F$6:$I$30,4,FALSE)/$AD7))</f>
        <v/>
      </c>
      <c r="W7" s="39" t="n">
        <v>2</v>
      </c>
      <c r="X7" s="39" t="n">
        <v>2.3</v>
      </c>
      <c r="Y7" s="39">
        <f>IF($C7="","",$X7/60*VLOOKUP("SM_MANUAL",基础参数!$F$6:$I$30,4,FALSE))</f>
        <v/>
      </c>
      <c r="Z7" s="39" t="n">
        <v>0</v>
      </c>
      <c r="AA7" s="39" t="n">
        <v>1.5</v>
      </c>
      <c r="AB7" s="22">
        <f>IF($C7="","",$AF7*基础参数!$N$6)</f>
        <v/>
      </c>
      <c r="AC7" s="22">
        <f>IF($C7="","",$AF7+$AB7)</f>
        <v/>
      </c>
      <c r="AD7" s="30" t="n">
        <v>20</v>
      </c>
      <c r="AE7" s="22">
        <f>IF($C7="","",$AC7*$AD7)</f>
        <v/>
      </c>
      <c r="AF7" s="22">
        <f>IF($C7="","",SUM($L7,$R7,$V7,$W7,$Y7:$AA7)*(1+基础参数!$N$7))</f>
        <v/>
      </c>
      <c r="AG7" s="36" t="n"/>
      <c r="AH7" s="37" t="inlineStr">
        <is>
          <t>待复核</t>
        </is>
      </c>
      <c r="AI7" s="37" t="inlineStr">
        <is>
          <t>示例：SUS304薄板激光+折弯；利用率和工时需校准</t>
        </is>
      </c>
      <c r="AK7" s="73">
        <f>IF(OR($C7="",AG7=""),"",AF7-AG7)</f>
        <v/>
      </c>
      <c r="AL7" s="86">
        <f>IFERROR(AK7/AF7,"")</f>
        <v/>
      </c>
    </row>
    <row r="8" ht="28.05" customHeight="1" s="54">
      <c r="A8" s="41">
        <f>IF($C8="","",ROW()-6)</f>
        <v/>
      </c>
      <c r="B8" s="30" t="n"/>
      <c r="C8" s="30" t="n"/>
      <c r="D8" s="30" t="n"/>
      <c r="E8" s="22">
        <f>IF($C8="","",IFERROR(VLOOKUP($D8,基础参数!$A$6:$C$22,2,FALSE),""))</f>
        <v/>
      </c>
      <c r="F8" s="23">
        <f>IF($C8="","",IFERROR(VLOOKUP($D8,基础参数!$A$6:$C$22,3,FALSE),""))</f>
        <v/>
      </c>
      <c r="G8" s="88" t="n"/>
      <c r="H8" s="30" t="n"/>
      <c r="I8" s="89" t="n"/>
      <c r="J8" s="30" t="n"/>
      <c r="K8" s="90">
        <f>IF($C8="","",IF($I8=0,"",$G8*1000000*$H8*$F8/$I8))</f>
        <v/>
      </c>
      <c r="L8" s="22">
        <f>IF($C8="","",$K8*$E8)</f>
        <v/>
      </c>
      <c r="M8" s="39" t="n"/>
      <c r="N8" s="39" t="n"/>
      <c r="O8" s="39" t="n"/>
      <c r="P8" s="39" t="n"/>
      <c r="Q8" s="39" t="n"/>
      <c r="R8" s="39">
        <f>IF($C8="","",IF($AD8=0,"",($Q8+$AD8*(($M8/$O8)+($N8*$P8/60))/60)*VLOOKUP("SM_LASER",基础参数!$F$6:$I$30,4,FALSE)/$AD8))</f>
        <v/>
      </c>
      <c r="S8" s="39" t="n"/>
      <c r="T8" s="39" t="n"/>
      <c r="U8" s="39" t="n"/>
      <c r="V8" s="39">
        <f>IF($C8="","",IF($AD8=0,"",($U8+$AD8*$S8*$T8/60)*VLOOKUP("SM_BEND",基础参数!$F$6:$I$30,4,FALSE)/$AD8))</f>
        <v/>
      </c>
      <c r="W8" s="39" t="n"/>
      <c r="X8" s="39" t="n"/>
      <c r="Y8" s="39">
        <f>IF($C8="","",$X8/60*VLOOKUP("SM_MANUAL",基础参数!$F$6:$I$30,4,FALSE))</f>
        <v/>
      </c>
      <c r="Z8" s="39" t="n"/>
      <c r="AA8" s="39" t="n"/>
      <c r="AB8" s="22">
        <f>IF($C8="","",$AF8*基础参数!$N$6)</f>
        <v/>
      </c>
      <c r="AC8" s="22">
        <f>IF($C8="","",$AF8+$AB8)</f>
        <v/>
      </c>
      <c r="AD8" s="30" t="n"/>
      <c r="AE8" s="22">
        <f>IF($C8="","",$AC8*$AD8)</f>
        <v/>
      </c>
      <c r="AF8" s="22">
        <f>IF($C8="","",SUM($L8,$R8,$V8,$W8,$Y8:$AA8)*(1+基础参数!$N$7))</f>
        <v/>
      </c>
      <c r="AG8" s="36" t="n"/>
      <c r="AH8" s="37" t="n"/>
      <c r="AI8" s="37" t="n"/>
      <c r="AK8" s="73">
        <f>IF(OR($C8="",AG8=""),"",AF8-AG8)</f>
        <v/>
      </c>
      <c r="AL8" s="86">
        <f>IFERROR(AK8/AF8,"")</f>
        <v/>
      </c>
    </row>
    <row r="9" ht="28.05" customHeight="1" s="54">
      <c r="A9" s="41">
        <f>IF($C9="","",ROW()-6)</f>
        <v/>
      </c>
      <c r="B9" s="30" t="n"/>
      <c r="C9" s="30" t="n"/>
      <c r="D9" s="30" t="n"/>
      <c r="E9" s="22">
        <f>IF($C9="","",IFERROR(VLOOKUP($D9,基础参数!$A$6:$C$22,2,FALSE),""))</f>
        <v/>
      </c>
      <c r="F9" s="23">
        <f>IF($C9="","",IFERROR(VLOOKUP($D9,基础参数!$A$6:$C$22,3,FALSE),""))</f>
        <v/>
      </c>
      <c r="G9" s="88" t="n"/>
      <c r="H9" s="30" t="n"/>
      <c r="I9" s="89" t="n"/>
      <c r="J9" s="30" t="n"/>
      <c r="K9" s="90">
        <f>IF($C9="","",IF($I9=0,"",$G9*1000000*$H9*$F9/$I9))</f>
        <v/>
      </c>
      <c r="L9" s="22">
        <f>IF($C9="","",$K9*$E9)</f>
        <v/>
      </c>
      <c r="M9" s="39" t="n"/>
      <c r="N9" s="39" t="n"/>
      <c r="O9" s="39" t="n"/>
      <c r="P9" s="39" t="n"/>
      <c r="Q9" s="39" t="n"/>
      <c r="R9" s="39">
        <f>IF($C9="","",IF($AD9=0,"",($Q9+$AD9*(($M9/$O9)+($N9*$P9/60))/60)*VLOOKUP("SM_LASER",基础参数!$F$6:$I$30,4,FALSE)/$AD9))</f>
        <v/>
      </c>
      <c r="S9" s="39" t="n"/>
      <c r="T9" s="39" t="n"/>
      <c r="U9" s="39" t="n"/>
      <c r="V9" s="39">
        <f>IF($C9="","",IF($AD9=0,"",($U9+$AD9*$S9*$T9/60)*VLOOKUP("SM_BEND",基础参数!$F$6:$I$30,4,FALSE)/$AD9))</f>
        <v/>
      </c>
      <c r="W9" s="39" t="n"/>
      <c r="X9" s="39" t="n"/>
      <c r="Y9" s="39">
        <f>IF($C9="","",$X9/60*VLOOKUP("SM_MANUAL",基础参数!$F$6:$I$30,4,FALSE))</f>
        <v/>
      </c>
      <c r="Z9" s="39" t="n"/>
      <c r="AA9" s="39" t="n"/>
      <c r="AB9" s="22">
        <f>IF($C9="","",$AF9*基础参数!$N$6)</f>
        <v/>
      </c>
      <c r="AC9" s="22">
        <f>IF($C9="","",$AF9+$AB9)</f>
        <v/>
      </c>
      <c r="AD9" s="30" t="n"/>
      <c r="AE9" s="22">
        <f>IF($C9="","",$AC9*$AD9)</f>
        <v/>
      </c>
      <c r="AF9" s="22">
        <f>IF($C9="","",SUM($L9,$R9,$V9,$W9,$Y9:$AA9)*(1+基础参数!$N$7))</f>
        <v/>
      </c>
      <c r="AG9" s="36" t="n"/>
      <c r="AH9" s="37" t="n"/>
      <c r="AI9" s="37" t="n"/>
      <c r="AK9" s="73">
        <f>IF(OR($C9="",AG9=""),"",AF9-AG9)</f>
        <v/>
      </c>
      <c r="AL9" s="86">
        <f>IFERROR(AK9/AF9,"")</f>
        <v/>
      </c>
    </row>
    <row r="10" ht="28.05" customHeight="1" s="54">
      <c r="A10" s="41">
        <f>IF($C10="","",ROW()-6)</f>
        <v/>
      </c>
      <c r="B10" s="30" t="n"/>
      <c r="C10" s="30" t="n"/>
      <c r="D10" s="30" t="n"/>
      <c r="E10" s="22">
        <f>IF($C10="","",IFERROR(VLOOKUP($D10,基础参数!$A$6:$C$22,2,FALSE),""))</f>
        <v/>
      </c>
      <c r="F10" s="23">
        <f>IF($C10="","",IFERROR(VLOOKUP($D10,基础参数!$A$6:$C$22,3,FALSE),""))</f>
        <v/>
      </c>
      <c r="G10" s="88" t="n"/>
      <c r="H10" s="30" t="n"/>
      <c r="I10" s="89" t="n"/>
      <c r="J10" s="30" t="n"/>
      <c r="K10" s="90">
        <f>IF($C10="","",IF($I10=0,"",$G10*1000000*$H10*$F10/$I10))</f>
        <v/>
      </c>
      <c r="L10" s="22">
        <f>IF($C10="","",$K10*$E10)</f>
        <v/>
      </c>
      <c r="M10" s="39" t="n"/>
      <c r="N10" s="39" t="n"/>
      <c r="O10" s="39" t="n"/>
      <c r="P10" s="39" t="n"/>
      <c r="Q10" s="39" t="n"/>
      <c r="R10" s="39">
        <f>IF($C10="","",IF($AD10=0,"",($Q10+$AD10*(($M10/$O10)+($N10*$P10/60))/60)*VLOOKUP("SM_LASER",基础参数!$F$6:$I$30,4,FALSE)/$AD10))</f>
        <v/>
      </c>
      <c r="S10" s="39" t="n"/>
      <c r="T10" s="39" t="n"/>
      <c r="U10" s="39" t="n"/>
      <c r="V10" s="39">
        <f>IF($C10="","",IF($AD10=0,"",($U10+$AD10*$S10*$T10/60)*VLOOKUP("SM_BEND",基础参数!$F$6:$I$30,4,FALSE)/$AD10))</f>
        <v/>
      </c>
      <c r="W10" s="39" t="n"/>
      <c r="X10" s="39" t="n"/>
      <c r="Y10" s="39">
        <f>IF($C10="","",$X10/60*VLOOKUP("SM_MANUAL",基础参数!$F$6:$I$30,4,FALSE))</f>
        <v/>
      </c>
      <c r="Z10" s="39" t="n"/>
      <c r="AA10" s="39" t="n"/>
      <c r="AB10" s="22">
        <f>IF($C10="","",$AF10*基础参数!$N$6)</f>
        <v/>
      </c>
      <c r="AC10" s="22">
        <f>IF($C10="","",$AF10+$AB10)</f>
        <v/>
      </c>
      <c r="AD10" s="30" t="n"/>
      <c r="AE10" s="22">
        <f>IF($C10="","",$AC10*$AD10)</f>
        <v/>
      </c>
      <c r="AF10" s="22">
        <f>IF($C10="","",SUM($L10,$R10,$V10,$W10,$Y10:$AA10)*(1+基础参数!$N$7))</f>
        <v/>
      </c>
      <c r="AG10" s="36" t="n"/>
      <c r="AH10" s="37" t="n"/>
      <c r="AI10" s="37" t="n"/>
      <c r="AK10" s="73">
        <f>IF(OR($C10="",AG10=""),"",AF10-AG10)</f>
        <v/>
      </c>
      <c r="AL10" s="86">
        <f>IFERROR(AK10/AF10,"")</f>
        <v/>
      </c>
    </row>
    <row r="11" ht="28.05" customHeight="1" s="54">
      <c r="A11" s="41">
        <f>IF($C11="","",ROW()-6)</f>
        <v/>
      </c>
      <c r="B11" s="30" t="n"/>
      <c r="C11" s="30" t="n"/>
      <c r="D11" s="30" t="n"/>
      <c r="E11" s="22">
        <f>IF($C11="","",IFERROR(VLOOKUP($D11,基础参数!$A$6:$C$22,2,FALSE),""))</f>
        <v/>
      </c>
      <c r="F11" s="23">
        <f>IF($C11="","",IFERROR(VLOOKUP($D11,基础参数!$A$6:$C$22,3,FALSE),""))</f>
        <v/>
      </c>
      <c r="G11" s="88" t="n"/>
      <c r="H11" s="30" t="n"/>
      <c r="I11" s="89" t="n"/>
      <c r="J11" s="30" t="n"/>
      <c r="K11" s="90">
        <f>IF($C11="","",IF($I11=0,"",$G11*1000000*$H11*$F11/$I11))</f>
        <v/>
      </c>
      <c r="L11" s="22">
        <f>IF($C11="","",$K11*$E11)</f>
        <v/>
      </c>
      <c r="M11" s="39" t="n"/>
      <c r="N11" s="39" t="n"/>
      <c r="O11" s="39" t="n"/>
      <c r="P11" s="39" t="n"/>
      <c r="Q11" s="39" t="n"/>
      <c r="R11" s="39">
        <f>IF($C11="","",IF($AD11=0,"",($Q11+$AD11*(($M11/$O11)+($N11*$P11/60))/60)*VLOOKUP("SM_LASER",基础参数!$F$6:$I$30,4,FALSE)/$AD11))</f>
        <v/>
      </c>
      <c r="S11" s="39" t="n"/>
      <c r="T11" s="39" t="n"/>
      <c r="U11" s="39" t="n"/>
      <c r="V11" s="39">
        <f>IF($C11="","",IF($AD11=0,"",($U11+$AD11*$S11*$T11/60)*VLOOKUP("SM_BEND",基础参数!$F$6:$I$30,4,FALSE)/$AD11))</f>
        <v/>
      </c>
      <c r="W11" s="39" t="n"/>
      <c r="X11" s="39" t="n"/>
      <c r="Y11" s="39">
        <f>IF($C11="","",$X11/60*VLOOKUP("SM_MANUAL",基础参数!$F$6:$I$30,4,FALSE))</f>
        <v/>
      </c>
      <c r="Z11" s="39" t="n"/>
      <c r="AA11" s="39" t="n"/>
      <c r="AB11" s="22">
        <f>IF($C11="","",$AF11*基础参数!$N$6)</f>
        <v/>
      </c>
      <c r="AC11" s="22">
        <f>IF($C11="","",$AF11+$AB11)</f>
        <v/>
      </c>
      <c r="AD11" s="30" t="n"/>
      <c r="AE11" s="22">
        <f>IF($C11="","",$AC11*$AD11)</f>
        <v/>
      </c>
      <c r="AF11" s="22">
        <f>IF($C11="","",SUM($L11,$R11,$V11,$W11,$Y11:$AA11)*(1+基础参数!$N$7))</f>
        <v/>
      </c>
      <c r="AG11" s="36" t="n"/>
      <c r="AH11" s="37" t="n"/>
      <c r="AI11" s="37" t="n"/>
      <c r="AK11" s="73">
        <f>IF(OR($C11="",AG11=""),"",AF11-AG11)</f>
        <v/>
      </c>
      <c r="AL11" s="86">
        <f>IFERROR(AK11/AF11,"")</f>
        <v/>
      </c>
    </row>
    <row r="12" ht="28.05" customHeight="1" s="54">
      <c r="A12" s="41">
        <f>IF($C12="","",ROW()-6)</f>
        <v/>
      </c>
      <c r="B12" s="30" t="n"/>
      <c r="C12" s="30" t="n"/>
      <c r="D12" s="30" t="n"/>
      <c r="E12" s="22">
        <f>IF($C12="","",IFERROR(VLOOKUP($D12,基础参数!$A$6:$C$22,2,FALSE),""))</f>
        <v/>
      </c>
      <c r="F12" s="23">
        <f>IF($C12="","",IFERROR(VLOOKUP($D12,基础参数!$A$6:$C$22,3,FALSE),""))</f>
        <v/>
      </c>
      <c r="G12" s="88" t="n"/>
      <c r="H12" s="30" t="n"/>
      <c r="I12" s="89" t="n"/>
      <c r="J12" s="30" t="n"/>
      <c r="K12" s="90">
        <f>IF($C12="","",IF($I12=0,"",$G12*1000000*$H12*$F12/$I12))</f>
        <v/>
      </c>
      <c r="L12" s="22">
        <f>IF($C12="","",$K12*$E12)</f>
        <v/>
      </c>
      <c r="M12" s="39" t="n"/>
      <c r="N12" s="39" t="n"/>
      <c r="O12" s="39" t="n"/>
      <c r="P12" s="39" t="n"/>
      <c r="Q12" s="39" t="n"/>
      <c r="R12" s="39">
        <f>IF($C12="","",IF($AD12=0,"",($Q12+$AD12*(($M12/$O12)+($N12*$P12/60))/60)*VLOOKUP("SM_LASER",基础参数!$F$6:$I$30,4,FALSE)/$AD12))</f>
        <v/>
      </c>
      <c r="S12" s="39" t="n"/>
      <c r="T12" s="39" t="n"/>
      <c r="U12" s="39" t="n"/>
      <c r="V12" s="39">
        <f>IF($C12="","",IF($AD12=0,"",($U12+$AD12*$S12*$T12/60)*VLOOKUP("SM_BEND",基础参数!$F$6:$I$30,4,FALSE)/$AD12))</f>
        <v/>
      </c>
      <c r="W12" s="39" t="n"/>
      <c r="X12" s="39" t="n"/>
      <c r="Y12" s="39">
        <f>IF($C12="","",$X12/60*VLOOKUP("SM_MANUAL",基础参数!$F$6:$I$30,4,FALSE))</f>
        <v/>
      </c>
      <c r="Z12" s="39" t="n"/>
      <c r="AA12" s="39" t="n"/>
      <c r="AB12" s="22">
        <f>IF($C12="","",$AF12*基础参数!$N$6)</f>
        <v/>
      </c>
      <c r="AC12" s="22">
        <f>IF($C12="","",$AF12+$AB12)</f>
        <v/>
      </c>
      <c r="AD12" s="30" t="n"/>
      <c r="AE12" s="22">
        <f>IF($C12="","",$AC12*$AD12)</f>
        <v/>
      </c>
      <c r="AF12" s="22">
        <f>IF($C12="","",SUM($L12,$R12,$V12,$W12,$Y12:$AA12)*(1+基础参数!$N$7))</f>
        <v/>
      </c>
      <c r="AG12" s="36" t="n"/>
      <c r="AH12" s="37" t="n"/>
      <c r="AI12" s="37" t="n"/>
      <c r="AK12" s="73">
        <f>IF(OR($C12="",AG12=""),"",AF12-AG12)</f>
        <v/>
      </c>
      <c r="AL12" s="86">
        <f>IFERROR(AK12/AF12,"")</f>
        <v/>
      </c>
    </row>
  </sheetData>
  <mergeCells count="10">
    <mergeCell ref="AK4:AL4"/>
    <mergeCell ref="E4:L4"/>
    <mergeCell ref="AH4:AI4"/>
    <mergeCell ref="A5:AL5"/>
    <mergeCell ref="A4:D4"/>
    <mergeCell ref="A1:AL1"/>
    <mergeCell ref="A3:AL3"/>
    <mergeCell ref="M4:AA4"/>
    <mergeCell ref="AB4:AG4"/>
    <mergeCell ref="A2:AL2"/>
  </mergeCells>
  <dataValidations count="3">
    <dataValidation sqref="AD7:AD12" showDropDown="0" showInputMessage="0" showErrorMessage="0" allowBlank="0" type="whole" operator="greaterThanOrEqual">
      <formula1>1</formula1>
    </dataValidation>
    <dataValidation sqref="I7:I12" showDropDown="0" showInputMessage="0" showErrorMessage="0" allowBlank="0" type="decimal">
      <formula1>0.1</formula1>
      <formula2>1</formula2>
    </dataValidation>
    <dataValidation sqref="AH7:AH12" showDropDown="0" showInputMessage="0" showErrorMessage="0" allowBlank="0" type="list">
      <formula1>"无需复核,待复核,高风险"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theme="6" tint="0.5999633777886288"/>
    <outlinePr summaryBelow="1" summaryRight="1"/>
    <pageSetUpPr/>
  </sheetPr>
  <dimension ref="A1:AO12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8" defaultRowHeight="13.8"/>
  <cols>
    <col width="11" customWidth="1" style="54" min="1" max="1"/>
    <col width="18" customWidth="1" style="54" min="2" max="3"/>
    <col width="6.796875" customWidth="1" style="54" min="4" max="29"/>
    <col width="6.8984375" customWidth="1" style="54" min="30" max="30"/>
    <col width="8.19921875" customWidth="1" style="54" min="31" max="31"/>
    <col width="11.19921875" customWidth="1" style="54" min="32" max="32"/>
    <col width="8.19921875" customWidth="1" style="54" min="33" max="33"/>
    <col width="11.19921875" customWidth="1" style="54" min="34" max="35"/>
    <col width="18" customWidth="1" style="54" min="36" max="36"/>
    <col width="11" customWidth="1" style="54" min="37" max="37"/>
    <col width="18" customWidth="1" style="54" min="38" max="38"/>
    <col width="3" customWidth="1" style="54" min="39" max="39"/>
    <col width="7.5" customWidth="1" style="54" min="40" max="40"/>
    <col width="7.296875" customWidth="1" style="54" min="41" max="41"/>
  </cols>
  <sheetData>
    <row r="1" ht="31.95" customHeight="1" s="54">
      <c r="A1" s="66" t="inlineStr">
        <is>
          <t>公司名称</t>
        </is>
      </c>
    </row>
    <row r="2" ht="24" customHeight="1" s="54">
      <c r="A2" s="67" t="inlineStr">
        <is>
          <t>焊接件报价计算（自动增行版）</t>
        </is>
      </c>
    </row>
    <row r="3" ht="30" customHeight="1" s="54">
      <c r="A3" s="56" t="inlineStr">
        <is>
          <t>材料按BOM净重和利用率计价；焊接按焊缝长度、截面积、焊速、电弧作业率计工时和焊材。报价结果位置与加工件一致。</t>
        </is>
      </c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  <c r="AI3" s="83" t="n"/>
      <c r="AJ3" s="83" t="n"/>
      <c r="AK3" s="83" t="n"/>
      <c r="AL3" s="83" t="n"/>
      <c r="AM3" s="83" t="n"/>
      <c r="AN3" s="83" t="n"/>
      <c r="AO3" s="83" t="n"/>
    </row>
    <row r="4">
      <c r="A4" s="58" t="inlineStr">
        <is>
          <t>基本信息</t>
        </is>
      </c>
      <c r="B4" s="84" t="n"/>
      <c r="C4" s="84" t="n"/>
      <c r="D4" s="85" t="n"/>
      <c r="E4" s="58" t="inlineStr">
        <is>
          <t>材料/备料/组立</t>
        </is>
      </c>
      <c r="F4" s="84" t="n"/>
      <c r="G4" s="84" t="n"/>
      <c r="H4" s="84" t="n"/>
      <c r="I4" s="84" t="n"/>
      <c r="J4" s="84" t="n"/>
      <c r="K4" s="84" t="n"/>
      <c r="L4" s="84" t="n"/>
      <c r="M4" s="84" t="n"/>
      <c r="N4" s="84" t="n"/>
      <c r="O4" s="85" t="n"/>
      <c r="P4" s="59" t="inlineStr">
        <is>
          <t>焊接/后处理输入</t>
        </is>
      </c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5" t="n"/>
      <c r="AE4" s="60" t="inlineStr">
        <is>
          <t>报价结果</t>
        </is>
      </c>
      <c r="AF4" s="84" t="n"/>
      <c r="AG4" s="84" t="n"/>
      <c r="AH4" s="84" t="n"/>
      <c r="AI4" s="84" t="n"/>
      <c r="AJ4" s="85" t="n"/>
      <c r="AK4" s="61" t="inlineStr">
        <is>
          <t>人工复核</t>
        </is>
      </c>
      <c r="AL4" s="85" t="n"/>
      <c r="AN4" s="65" t="inlineStr">
        <is>
          <t>报价对比</t>
        </is>
      </c>
      <c r="AO4" s="85" t="n"/>
    </row>
    <row r="5" ht="14.4" customHeight="1" s="54">
      <c r="A5" s="64" t="inlineStr">
        <is>
          <t>焊工实际工时=电弧时间÷电弧作业率；焊材费=焊缝体积×密度÷熔敷效率×焊材单价。坡口焊须按实际截面积调整系数。；差价=AI预估未税−厂商报价(未税)，正值表示AI预估较高。</t>
        </is>
      </c>
    </row>
    <row r="6" ht="48" customHeight="1" s="54">
      <c r="A6" s="4" t="inlineStr">
        <is>
          <t>序号</t>
        </is>
      </c>
      <c r="B6" s="4" t="inlineStr">
        <is>
          <t>专案代码</t>
        </is>
      </c>
      <c r="C6" s="4" t="inlineStr">
        <is>
          <t>产品图号</t>
        </is>
      </c>
      <c r="D6" s="4" t="inlineStr">
        <is>
          <t>材质</t>
        </is>
      </c>
      <c r="E6" s="4" t="inlineStr">
        <is>
          <t>材料单价</t>
        </is>
      </c>
      <c r="F6" s="4" t="inlineStr">
        <is>
          <t>密度</t>
        </is>
      </c>
      <c r="G6" s="4" t="inlineStr">
        <is>
          <t>BOM净重kg/套</t>
        </is>
      </c>
      <c r="H6" s="4" t="inlineStr">
        <is>
          <t>材料利用率</t>
        </is>
      </c>
      <c r="I6" s="4" t="inlineStr">
        <is>
          <t>材料用量kg/套</t>
        </is>
      </c>
      <c r="J6" s="4" t="inlineStr">
        <is>
          <t>材料费</t>
        </is>
      </c>
      <c r="K6" s="4" t="inlineStr">
        <is>
          <t>外购件/套</t>
        </is>
      </c>
      <c r="L6" s="4" t="inlineStr">
        <is>
          <t>备料h/批</t>
        </is>
      </c>
      <c r="M6" s="4" t="inlineStr">
        <is>
          <t>备料费/套</t>
        </is>
      </c>
      <c r="N6" s="4" t="inlineStr">
        <is>
          <t>组立h/套</t>
        </is>
      </c>
      <c r="O6" s="4" t="inlineStr">
        <is>
          <t>组立费/套</t>
        </is>
      </c>
      <c r="P6" s="4" t="inlineStr">
        <is>
          <t>焊缝长度m/套</t>
        </is>
      </c>
      <c r="Q6" s="4" t="inlineStr">
        <is>
          <t>焊脚/特征mm</t>
        </is>
      </c>
      <c r="R6" s="4" t="inlineStr">
        <is>
          <t>截面积系数</t>
        </is>
      </c>
      <c r="S6" s="4" t="inlineStr">
        <is>
          <t>焊速m/min</t>
        </is>
      </c>
      <c r="T6" s="4" t="inlineStr">
        <is>
          <t>电弧作业率</t>
        </is>
      </c>
      <c r="U6" s="4" t="inlineStr">
        <is>
          <t>焊工实际h/套</t>
        </is>
      </c>
      <c r="V6" s="4" t="inlineStr">
        <is>
          <t>焊接费/套</t>
        </is>
      </c>
      <c r="W6" s="4" t="inlineStr">
        <is>
          <t>焊材单价</t>
        </is>
      </c>
      <c r="X6" s="4" t="inlineStr">
        <is>
          <t>熔敷效率</t>
        </is>
      </c>
      <c r="Y6" s="4" t="inlineStr">
        <is>
          <t>气体费率元/h</t>
        </is>
      </c>
      <c r="Z6" s="4" t="inlineStr">
        <is>
          <t>焊材+气体费/套</t>
        </is>
      </c>
      <c r="AA6" s="4" t="inlineStr">
        <is>
          <t>打磨校形h/套</t>
        </is>
      </c>
      <c r="AB6" s="4" t="inlineStr">
        <is>
          <t>后处理费/套</t>
        </is>
      </c>
      <c r="AC6" s="4" t="inlineStr">
        <is>
          <t>表处/外协/套</t>
        </is>
      </c>
      <c r="AD6" s="4" t="inlineStr">
        <is>
          <t>检验包装/套</t>
        </is>
      </c>
      <c r="AE6" s="4" t="inlineStr">
        <is>
          <t>税金</t>
        </is>
      </c>
      <c r="AF6" s="4" t="inlineStr">
        <is>
          <t>含税单价</t>
        </is>
      </c>
      <c r="AG6" s="4" t="inlineStr">
        <is>
          <t>数量</t>
        </is>
      </c>
      <c r="AH6" s="4" t="inlineStr">
        <is>
          <t>含税总价</t>
        </is>
      </c>
      <c r="AI6" s="4" t="inlineStr">
        <is>
          <t>未税单价</t>
        </is>
      </c>
      <c r="AJ6" s="4" t="inlineStr">
        <is>
          <t>厂商报价(未税)</t>
        </is>
      </c>
      <c r="AK6" s="4" t="inlineStr">
        <is>
          <t>复核状态</t>
        </is>
      </c>
      <c r="AL6" s="4" t="inlineStr">
        <is>
          <t>备注</t>
        </is>
      </c>
      <c r="AN6" s="72" t="inlineStr">
        <is>
          <t>差价</t>
        </is>
      </c>
      <c r="AO6" s="72" t="inlineStr">
        <is>
          <t>占比</t>
        </is>
      </c>
    </row>
    <row r="7" ht="28.05" customHeight="1" s="54">
      <c r="A7" s="41">
        <f>IF($C7="","",ROW()-6)</f>
        <v/>
      </c>
      <c r="B7" s="5" t="inlineStr">
        <is>
          <t>WELD</t>
        </is>
      </c>
      <c r="C7" s="5" t="inlineStr">
        <is>
          <t>WELD-EX-001</t>
        </is>
      </c>
      <c r="D7" s="5" t="inlineStr">
        <is>
          <t>Q235</t>
        </is>
      </c>
      <c r="E7" s="22">
        <f>IF($C7="","",IFERROR(VLOOKUP($D7,基础参数!$A$6:$C$22,2,FALSE),""))</f>
        <v/>
      </c>
      <c r="F7" s="23">
        <f>IF($C7="","",IFERROR(VLOOKUP($D7,基础参数!$A$6:$C$22,3,FALSE),""))</f>
        <v/>
      </c>
      <c r="G7" s="7" t="n">
        <v>18.5</v>
      </c>
      <c r="H7" s="91" t="n">
        <v>0.95</v>
      </c>
      <c r="I7" s="22">
        <f>IF($C7="","",IF($H7=0,"",$G7/$H7))</f>
        <v/>
      </c>
      <c r="J7" s="22">
        <f>IF($C7="","",$I7*$E7)</f>
        <v/>
      </c>
      <c r="K7" s="7" t="n">
        <v>20</v>
      </c>
      <c r="L7" s="7" t="n">
        <v>1.2</v>
      </c>
      <c r="M7" s="22">
        <f>IF($C7="","",IF($AG7=0,"",$L7*VLOOKUP("WELD_PREP",基础参数!$F$6:$I$30,4,FALSE)/$AG7))</f>
        <v/>
      </c>
      <c r="N7" s="39" t="n">
        <v>0.6</v>
      </c>
      <c r="O7" s="22">
        <f>IF($C7="","",$N7*VLOOKUP("WELD_FIT",基础参数!$F$6:$I$30,4,FALSE))</f>
        <v/>
      </c>
      <c r="P7" s="39" t="n">
        <v>4</v>
      </c>
      <c r="Q7" s="39" t="n">
        <v>5</v>
      </c>
      <c r="R7" s="39" t="n">
        <v>0.5</v>
      </c>
      <c r="S7" s="39" t="n">
        <v>0.25</v>
      </c>
      <c r="T7" s="92" t="n">
        <v>0.35</v>
      </c>
      <c r="U7" s="22">
        <f>IF($C7="","",IF($S7*$T7=0,"",$P7/$S7/60/$T7))</f>
        <v/>
      </c>
      <c r="V7" s="22">
        <f>IF($C7="","",$U7*VLOOKUP("WELD",基础参数!$F$6:$I$30,4,FALSE))</f>
        <v/>
      </c>
      <c r="W7" s="39" t="n">
        <v>14</v>
      </c>
      <c r="X7" s="92" t="n">
        <v>0.85</v>
      </c>
      <c r="Y7" s="39" t="n">
        <v>8</v>
      </c>
      <c r="Z7" s="22">
        <f>IF($C7="","",IF($X7=0,"",($R7*$Q7^2*$P7*1000*$F7/$X7)*$W7+$U7*$Y7))</f>
        <v/>
      </c>
      <c r="AA7" s="39" t="n">
        <v>0.4</v>
      </c>
      <c r="AB7" s="22">
        <f>IF($C7="","",$AA7*VLOOKUP("WELD_POST",基础参数!$F$6:$I$30,4,FALSE))</f>
        <v/>
      </c>
      <c r="AC7" s="39" t="n">
        <v>42.84</v>
      </c>
      <c r="AD7" s="39" t="n">
        <v>8</v>
      </c>
      <c r="AE7" s="22">
        <f>IF($C7="","",$AI7*基础参数!$N$6)</f>
        <v/>
      </c>
      <c r="AF7" s="22">
        <f>IF($C7="","",$AI7+$AE7)</f>
        <v/>
      </c>
      <c r="AG7" s="28" t="n">
        <v>5</v>
      </c>
      <c r="AH7" s="22">
        <f>IF($C7="","",$AF7*$AG7)</f>
        <v/>
      </c>
      <c r="AI7" s="22">
        <f>IF($C7="","",SUM($J7,$K7,$M7,$O7,$V7,$Z7,$AB7:$AD7)*(1+基础参数!$N$7))</f>
        <v/>
      </c>
      <c r="AJ7" s="36" t="n"/>
      <c r="AK7" s="38" t="inlineStr">
        <is>
          <t>待复核</t>
        </is>
      </c>
      <c r="AL7" s="38" t="inlineStr">
        <is>
          <t>示例：Q235框架；焊缝类型、夹具和表面要求需确认</t>
        </is>
      </c>
      <c r="AN7" s="73">
        <f>IF(OR($C7="",AJ7=""),"",AI7-AJ7)</f>
        <v/>
      </c>
      <c r="AO7" s="86">
        <f>IFERROR(AN7/AI7,"")</f>
        <v/>
      </c>
    </row>
    <row r="8" ht="28.05" customHeight="1" s="54">
      <c r="A8" s="41">
        <f>IF($C8="","",ROW()-6)</f>
        <v/>
      </c>
      <c r="B8" s="5" t="n"/>
      <c r="C8" s="5" t="n"/>
      <c r="D8" s="5" t="n"/>
      <c r="E8" s="22">
        <f>IF($C8="","",IFERROR(VLOOKUP($D8,基础参数!$A$6:$C$22,2,FALSE),""))</f>
        <v/>
      </c>
      <c r="F8" s="23">
        <f>IF($C8="","",IFERROR(VLOOKUP($D8,基础参数!$A$6:$C$22,3,FALSE),""))</f>
        <v/>
      </c>
      <c r="G8" s="7" t="n"/>
      <c r="H8" s="91" t="n"/>
      <c r="I8" s="22">
        <f>IF($C8="","",IF($H8=0,"",$G8/$H8))</f>
        <v/>
      </c>
      <c r="J8" s="22">
        <f>IF($C8="","",$I8*$E8)</f>
        <v/>
      </c>
      <c r="K8" s="7" t="n"/>
      <c r="L8" s="7" t="n"/>
      <c r="M8" s="22">
        <f>IF($C8="","",IF($AG8=0,"",$L8*VLOOKUP("WELD_PREP",基础参数!$F$6:$I$30,4,FALSE)/$AG8))</f>
        <v/>
      </c>
      <c r="N8" s="39" t="n"/>
      <c r="O8" s="22">
        <f>IF($C8="","",$N8*VLOOKUP("WELD_FIT",基础参数!$F$6:$I$30,4,FALSE))</f>
        <v/>
      </c>
      <c r="P8" s="39" t="n"/>
      <c r="Q8" s="39" t="n"/>
      <c r="R8" s="39" t="n"/>
      <c r="S8" s="39" t="n"/>
      <c r="T8" s="92" t="n"/>
      <c r="U8" s="22">
        <f>IF($C8="","",IF($S8*$T8=0,"",$P8/$S8/60/$T8))</f>
        <v/>
      </c>
      <c r="V8" s="22">
        <f>IF($C8="","",$U8*VLOOKUP("WELD",基础参数!$F$6:$I$30,4,FALSE))</f>
        <v/>
      </c>
      <c r="W8" s="39" t="n"/>
      <c r="X8" s="92" t="n"/>
      <c r="Y8" s="39" t="n"/>
      <c r="Z8" s="22">
        <f>IF($C8="","",IF($X8=0,"",($R8*$Q8^2*$P8*1000*$F8/$X8)*$W8+$U8*$Y8))</f>
        <v/>
      </c>
      <c r="AA8" s="39" t="n"/>
      <c r="AB8" s="22">
        <f>IF($C8="","",$AA8*VLOOKUP("WELD_POST",基础参数!$F$6:$I$30,4,FALSE))</f>
        <v/>
      </c>
      <c r="AC8" s="39" t="n"/>
      <c r="AD8" s="39" t="n"/>
      <c r="AE8" s="22">
        <f>IF($C8="","",$AI8*基础参数!$N$6)</f>
        <v/>
      </c>
      <c r="AF8" s="22">
        <f>IF($C8="","",$AI8+$AE8)</f>
        <v/>
      </c>
      <c r="AG8" s="28" t="n"/>
      <c r="AH8" s="22">
        <f>IF($C8="","",$AF8*$AG8)</f>
        <v/>
      </c>
      <c r="AI8" s="22">
        <f>IF($C8="","",SUM($J8,$K8,$M8,$O8,$V8,$Z8,$AB8:$AD8)*(1+基础参数!$N$7))</f>
        <v/>
      </c>
      <c r="AJ8" s="36" t="n"/>
      <c r="AK8" s="38" t="n"/>
      <c r="AL8" s="38" t="n"/>
      <c r="AN8" s="73">
        <f>IF(OR($C8="",AJ8=""),"",AI8-AJ8)</f>
        <v/>
      </c>
      <c r="AO8" s="86">
        <f>IFERROR(AN8/AI8,"")</f>
        <v/>
      </c>
    </row>
    <row r="9" ht="28.05" customHeight="1" s="54">
      <c r="A9" s="41">
        <f>IF($C9="","",ROW()-6)</f>
        <v/>
      </c>
      <c r="B9" s="5" t="n"/>
      <c r="C9" s="5" t="n"/>
      <c r="D9" s="5" t="n"/>
      <c r="E9" s="22">
        <f>IF($C9="","",IFERROR(VLOOKUP($D9,基础参数!$A$6:$C$22,2,FALSE),""))</f>
        <v/>
      </c>
      <c r="F9" s="23">
        <f>IF($C9="","",IFERROR(VLOOKUP($D9,基础参数!$A$6:$C$22,3,FALSE),""))</f>
        <v/>
      </c>
      <c r="G9" s="7" t="n"/>
      <c r="H9" s="91" t="n"/>
      <c r="I9" s="22">
        <f>IF($C9="","",IF($H9=0,"",$G9/$H9))</f>
        <v/>
      </c>
      <c r="J9" s="22">
        <f>IF($C9="","",$I9*$E9)</f>
        <v/>
      </c>
      <c r="K9" s="7" t="n"/>
      <c r="L9" s="7" t="n"/>
      <c r="M9" s="22">
        <f>IF($C9="","",IF($AG9=0,"",$L9*VLOOKUP("WELD_PREP",基础参数!$F$6:$I$30,4,FALSE)/$AG9))</f>
        <v/>
      </c>
      <c r="N9" s="39" t="n"/>
      <c r="O9" s="22">
        <f>IF($C9="","",$N9*VLOOKUP("WELD_FIT",基础参数!$F$6:$I$30,4,FALSE))</f>
        <v/>
      </c>
      <c r="P9" s="39" t="n"/>
      <c r="Q9" s="39" t="n"/>
      <c r="R9" s="39" t="n"/>
      <c r="S9" s="39" t="n"/>
      <c r="T9" s="92" t="n"/>
      <c r="U9" s="22">
        <f>IF($C9="","",IF($S9*$T9=0,"",$P9/$S9/60/$T9))</f>
        <v/>
      </c>
      <c r="V9" s="22">
        <f>IF($C9="","",$U9*VLOOKUP("WELD",基础参数!$F$6:$I$30,4,FALSE))</f>
        <v/>
      </c>
      <c r="W9" s="39" t="n"/>
      <c r="X9" s="92" t="n"/>
      <c r="Y9" s="39" t="n"/>
      <c r="Z9" s="22">
        <f>IF($C9="","",IF($X9=0,"",($R9*$Q9^2*$P9*1000*$F9/$X9)*$W9+$U9*$Y9))</f>
        <v/>
      </c>
      <c r="AA9" s="39" t="n"/>
      <c r="AB9" s="22">
        <f>IF($C9="","",$AA9*VLOOKUP("WELD_POST",基础参数!$F$6:$I$30,4,FALSE))</f>
        <v/>
      </c>
      <c r="AC9" s="39" t="n"/>
      <c r="AD9" s="39" t="n"/>
      <c r="AE9" s="22">
        <f>IF($C9="","",$AI9*基础参数!$N$6)</f>
        <v/>
      </c>
      <c r="AF9" s="22">
        <f>IF($C9="","",$AI9+$AE9)</f>
        <v/>
      </c>
      <c r="AG9" s="28" t="n"/>
      <c r="AH9" s="22">
        <f>IF($C9="","",$AF9*$AG9)</f>
        <v/>
      </c>
      <c r="AI9" s="22">
        <f>IF($C9="","",SUM($J9,$K9,$M9,$O9,$V9,$Z9,$AB9:$AD9)*(1+基础参数!$N$7))</f>
        <v/>
      </c>
      <c r="AJ9" s="36" t="n"/>
      <c r="AK9" s="38" t="n"/>
      <c r="AL9" s="38" t="n"/>
      <c r="AN9" s="73">
        <f>IF(OR($C9="",AJ9=""),"",AI9-AJ9)</f>
        <v/>
      </c>
      <c r="AO9" s="86">
        <f>IFERROR(AN9/AI9,"")</f>
        <v/>
      </c>
    </row>
    <row r="10" ht="28.05" customHeight="1" s="54">
      <c r="A10" s="41">
        <f>IF($C10="","",ROW()-6)</f>
        <v/>
      </c>
      <c r="B10" s="5" t="n"/>
      <c r="C10" s="5" t="n"/>
      <c r="D10" s="5" t="n"/>
      <c r="E10" s="22">
        <f>IF($C10="","",IFERROR(VLOOKUP($D10,基础参数!$A$6:$C$22,2,FALSE),""))</f>
        <v/>
      </c>
      <c r="F10" s="23">
        <f>IF($C10="","",IFERROR(VLOOKUP($D10,基础参数!$A$6:$C$22,3,FALSE),""))</f>
        <v/>
      </c>
      <c r="G10" s="7" t="n"/>
      <c r="H10" s="91" t="n"/>
      <c r="I10" s="22">
        <f>IF($C10="","",IF($H10=0,"",$G10/$H10))</f>
        <v/>
      </c>
      <c r="J10" s="22">
        <f>IF($C10="","",$I10*$E10)</f>
        <v/>
      </c>
      <c r="K10" s="7" t="n"/>
      <c r="L10" s="7" t="n"/>
      <c r="M10" s="22">
        <f>IF($C10="","",IF($AG10=0,"",$L10*VLOOKUP("WELD_PREP",基础参数!$F$6:$I$30,4,FALSE)/$AG10))</f>
        <v/>
      </c>
      <c r="N10" s="39" t="n"/>
      <c r="O10" s="22">
        <f>IF($C10="","",$N10*VLOOKUP("WELD_FIT",基础参数!$F$6:$I$30,4,FALSE))</f>
        <v/>
      </c>
      <c r="P10" s="39" t="n"/>
      <c r="Q10" s="39" t="n"/>
      <c r="R10" s="39" t="n"/>
      <c r="S10" s="39" t="n"/>
      <c r="T10" s="92" t="n"/>
      <c r="U10" s="22">
        <f>IF($C10="","",IF($S10*$T10=0,"",$P10/$S10/60/$T10))</f>
        <v/>
      </c>
      <c r="V10" s="22">
        <f>IF($C10="","",$U10*VLOOKUP("WELD",基础参数!$F$6:$I$30,4,FALSE))</f>
        <v/>
      </c>
      <c r="W10" s="39" t="n"/>
      <c r="X10" s="92" t="n"/>
      <c r="Y10" s="39" t="n"/>
      <c r="Z10" s="22">
        <f>IF($C10="","",IF($X10=0,"",($R10*$Q10^2*$P10*1000*$F10/$X10)*$W10+$U10*$Y10))</f>
        <v/>
      </c>
      <c r="AA10" s="39" t="n"/>
      <c r="AB10" s="22">
        <f>IF($C10="","",$AA10*VLOOKUP("WELD_POST",基础参数!$F$6:$I$30,4,FALSE))</f>
        <v/>
      </c>
      <c r="AC10" s="39" t="n"/>
      <c r="AD10" s="39" t="n"/>
      <c r="AE10" s="22">
        <f>IF($C10="","",$AI10*基础参数!$N$6)</f>
        <v/>
      </c>
      <c r="AF10" s="22">
        <f>IF($C10="","",$AI10+$AE10)</f>
        <v/>
      </c>
      <c r="AG10" s="28" t="n"/>
      <c r="AH10" s="22">
        <f>IF($C10="","",$AF10*$AG10)</f>
        <v/>
      </c>
      <c r="AI10" s="22">
        <f>IF($C10="","",SUM($J10,$K10,$M10,$O10,$V10,$Z10,$AB10:$AD10)*(1+基础参数!$N$7))</f>
        <v/>
      </c>
      <c r="AJ10" s="36" t="n"/>
      <c r="AK10" s="38" t="n"/>
      <c r="AL10" s="38" t="n"/>
      <c r="AN10" s="73">
        <f>IF(OR($C10="",AJ10=""),"",AI10-AJ10)</f>
        <v/>
      </c>
      <c r="AO10" s="86">
        <f>IFERROR(AN10/AI10,"")</f>
        <v/>
      </c>
    </row>
    <row r="11" ht="28.05" customHeight="1" s="54">
      <c r="A11" s="41">
        <f>IF($C11="","",ROW()-6)</f>
        <v/>
      </c>
      <c r="B11" s="5" t="n"/>
      <c r="C11" s="5" t="n"/>
      <c r="D11" s="5" t="n"/>
      <c r="E11" s="22">
        <f>IF($C11="","",IFERROR(VLOOKUP($D11,基础参数!$A$6:$C$22,2,FALSE),""))</f>
        <v/>
      </c>
      <c r="F11" s="23">
        <f>IF($C11="","",IFERROR(VLOOKUP($D11,基础参数!$A$6:$C$22,3,FALSE),""))</f>
        <v/>
      </c>
      <c r="G11" s="7" t="n"/>
      <c r="H11" s="91" t="n"/>
      <c r="I11" s="22">
        <f>IF($C11="","",IF($H11=0,"",$G11/$H11))</f>
        <v/>
      </c>
      <c r="J11" s="22">
        <f>IF($C11="","",$I11*$E11)</f>
        <v/>
      </c>
      <c r="K11" s="7" t="n"/>
      <c r="L11" s="7" t="n"/>
      <c r="M11" s="22">
        <f>IF($C11="","",IF($AG11=0,"",$L11*VLOOKUP("WELD_PREP",基础参数!$F$6:$I$30,4,FALSE)/$AG11))</f>
        <v/>
      </c>
      <c r="N11" s="39" t="n"/>
      <c r="O11" s="22">
        <f>IF($C11="","",$N11*VLOOKUP("WELD_FIT",基础参数!$F$6:$I$30,4,FALSE))</f>
        <v/>
      </c>
      <c r="P11" s="39" t="n"/>
      <c r="Q11" s="39" t="n"/>
      <c r="R11" s="39" t="n"/>
      <c r="S11" s="39" t="n"/>
      <c r="T11" s="92" t="n"/>
      <c r="U11" s="22">
        <f>IF($C11="","",IF($S11*$T11=0,"",$P11/$S11/60/$T11))</f>
        <v/>
      </c>
      <c r="V11" s="22">
        <f>IF($C11="","",$U11*VLOOKUP("WELD",基础参数!$F$6:$I$30,4,FALSE))</f>
        <v/>
      </c>
      <c r="W11" s="39" t="n"/>
      <c r="X11" s="92" t="n"/>
      <c r="Y11" s="39" t="n"/>
      <c r="Z11" s="22">
        <f>IF($C11="","",IF($X11=0,"",($R11*$Q11^2*$P11*1000*$F11/$X11)*$W11+$U11*$Y11))</f>
        <v/>
      </c>
      <c r="AA11" s="39" t="n"/>
      <c r="AB11" s="22">
        <f>IF($C11="","",$AA11*VLOOKUP("WELD_POST",基础参数!$F$6:$I$30,4,FALSE))</f>
        <v/>
      </c>
      <c r="AC11" s="39" t="n"/>
      <c r="AD11" s="39" t="n"/>
      <c r="AE11" s="22">
        <f>IF($C11="","",$AI11*基础参数!$N$6)</f>
        <v/>
      </c>
      <c r="AF11" s="22">
        <f>IF($C11="","",$AI11+$AE11)</f>
        <v/>
      </c>
      <c r="AG11" s="28" t="n"/>
      <c r="AH11" s="22">
        <f>IF($C11="","",$AF11*$AG11)</f>
        <v/>
      </c>
      <c r="AI11" s="22">
        <f>IF($C11="","",SUM($J11,$K11,$M11,$O11,$V11,$Z11,$AB11:$AD11)*(1+基础参数!$N$7))</f>
        <v/>
      </c>
      <c r="AJ11" s="36" t="n"/>
      <c r="AK11" s="38" t="n"/>
      <c r="AL11" s="38" t="n"/>
      <c r="AN11" s="73">
        <f>IF(OR($C11="",AJ11=""),"",AI11-AJ11)</f>
        <v/>
      </c>
      <c r="AO11" s="86">
        <f>IFERROR(AN11/AI11,"")</f>
        <v/>
      </c>
    </row>
    <row r="12" ht="28.05" customHeight="1" s="54">
      <c r="A12" s="41">
        <f>IF($C12="","",ROW()-6)</f>
        <v/>
      </c>
      <c r="B12" s="5" t="n"/>
      <c r="C12" s="5" t="n"/>
      <c r="D12" s="5" t="n"/>
      <c r="E12" s="22">
        <f>IF($C12="","",IFERROR(VLOOKUP($D12,基础参数!$A$6:$C$22,2,FALSE),""))</f>
        <v/>
      </c>
      <c r="F12" s="23">
        <f>IF($C12="","",IFERROR(VLOOKUP($D12,基础参数!$A$6:$C$22,3,FALSE),""))</f>
        <v/>
      </c>
      <c r="G12" s="7" t="n"/>
      <c r="H12" s="91" t="n"/>
      <c r="I12" s="22">
        <f>IF($C12="","",IF($H12=0,"",$G12/$H12))</f>
        <v/>
      </c>
      <c r="J12" s="22">
        <f>IF($C12="","",$I12*$E12)</f>
        <v/>
      </c>
      <c r="K12" s="7" t="n"/>
      <c r="L12" s="7" t="n"/>
      <c r="M12" s="22">
        <f>IF($C12="","",IF($AG12=0,"",$L12*VLOOKUP("WELD_PREP",基础参数!$F$6:$I$30,4,FALSE)/$AG12))</f>
        <v/>
      </c>
      <c r="N12" s="39" t="n"/>
      <c r="O12" s="22">
        <f>IF($C12="","",$N12*VLOOKUP("WELD_FIT",基础参数!$F$6:$I$30,4,FALSE))</f>
        <v/>
      </c>
      <c r="P12" s="39" t="n"/>
      <c r="Q12" s="39" t="n"/>
      <c r="R12" s="39" t="n"/>
      <c r="S12" s="39" t="n"/>
      <c r="T12" s="92" t="n"/>
      <c r="U12" s="22">
        <f>IF($C12="","",IF($S12*$T12=0,"",$P12/$S12/60/$T12))</f>
        <v/>
      </c>
      <c r="V12" s="22">
        <f>IF($C12="","",$U12*VLOOKUP("WELD",基础参数!$F$6:$I$30,4,FALSE))</f>
        <v/>
      </c>
      <c r="W12" s="39" t="n"/>
      <c r="X12" s="92" t="n"/>
      <c r="Y12" s="39" t="n"/>
      <c r="Z12" s="22">
        <f>IF($C12="","",IF($X12=0,"",($R12*$Q12^2*$P12*1000*$F12/$X12)*$W12+$U12*$Y12))</f>
        <v/>
      </c>
      <c r="AA12" s="39" t="n"/>
      <c r="AB12" s="22">
        <f>IF($C12="","",$AA12*VLOOKUP("WELD_POST",基础参数!$F$6:$I$30,4,FALSE))</f>
        <v/>
      </c>
      <c r="AC12" s="39" t="n"/>
      <c r="AD12" s="39" t="n"/>
      <c r="AE12" s="22">
        <f>IF($C12="","",$AI12*基础参数!$N$6)</f>
        <v/>
      </c>
      <c r="AF12" s="22">
        <f>IF($C12="","",$AI12+$AE12)</f>
        <v/>
      </c>
      <c r="AG12" s="28" t="n"/>
      <c r="AH12" s="22">
        <f>IF($C12="","",$AF12*$AG12)</f>
        <v/>
      </c>
      <c r="AI12" s="22">
        <f>IF($C12="","",SUM($J12,$K12,$M12,$O12,$V12,$Z12,$AB12:$AD12)*(1+基础参数!$N$7))</f>
        <v/>
      </c>
      <c r="AJ12" s="36" t="n"/>
      <c r="AK12" s="38" t="n"/>
      <c r="AL12" s="38" t="n"/>
      <c r="AN12" s="73">
        <f>IF(OR($C12="",AJ12=""),"",AI12-AJ12)</f>
        <v/>
      </c>
      <c r="AO12" s="86">
        <f>IFERROR(AN12/AI12,"")</f>
        <v/>
      </c>
    </row>
  </sheetData>
  <mergeCells count="10">
    <mergeCell ref="A2:AO2"/>
    <mergeCell ref="P4:AD4"/>
    <mergeCell ref="AN4:AO4"/>
    <mergeCell ref="E4:O4"/>
    <mergeCell ref="A4:D4"/>
    <mergeCell ref="A5:AO5"/>
    <mergeCell ref="A1:AO1"/>
    <mergeCell ref="A3:AO3"/>
    <mergeCell ref="AE4:AJ4"/>
    <mergeCell ref="AK4:AL4"/>
  </mergeCells>
  <dataValidations count="5">
    <dataValidation sqref="AG7:AG12" showDropDown="0" showInputMessage="0" showErrorMessage="0" allowBlank="0" type="whole" operator="greaterThanOrEqual">
      <formula1>1</formula1>
    </dataValidation>
    <dataValidation sqref="H7:H12" showDropDown="0" showInputMessage="0" showErrorMessage="0" allowBlank="0" type="decimal">
      <formula1>0.05</formula1>
      <formula2>1</formula2>
    </dataValidation>
    <dataValidation sqref="T7:T12" showDropDown="0" showInputMessage="0" showErrorMessage="0" allowBlank="0" type="decimal">
      <formula1>0.05</formula1>
      <formula2>1</formula2>
    </dataValidation>
    <dataValidation sqref="X7:X12" showDropDown="0" showInputMessage="0" showErrorMessage="0" allowBlank="0" type="decimal">
      <formula1>0.05</formula1>
      <formula2>1</formula2>
    </dataValidation>
    <dataValidation sqref="AK7:AK12" showDropDown="0" showInputMessage="0" showErrorMessage="0" allowBlank="0" type="list">
      <formula1>"无需复核,待复核,高风险"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6" tint="0.5999633777886288"/>
    <outlinePr summaryBelow="1" summaryRight="1"/>
    <pageSetUpPr/>
  </sheetPr>
  <dimension ref="A1:AP12"/>
  <sheetViews>
    <sheetView showGridLines="0"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15" sqref="F15"/>
    </sheetView>
  </sheetViews>
  <sheetFormatPr baseColWidth="8" defaultRowHeight="13.8"/>
  <cols>
    <col width="11" customWidth="1" style="54" min="1" max="1"/>
    <col width="18" customWidth="1" style="54" min="2" max="3"/>
    <col width="11" customWidth="1" style="54" min="4" max="4"/>
    <col width="12" customWidth="1" style="54" min="5" max="6"/>
    <col width="7.3984375" customWidth="1" style="54" min="7" max="31"/>
    <col width="12" customWidth="1" style="54" min="32" max="33"/>
    <col width="6.59765625" customWidth="1" style="54" min="34" max="34"/>
    <col width="12" customWidth="1" style="54" min="35" max="36"/>
    <col width="8.296875" customWidth="1" style="54" min="37" max="37"/>
    <col width="11" customWidth="1" style="54" min="38" max="38"/>
    <col width="18" customWidth="1" style="54" min="39" max="39"/>
    <col width="3" customWidth="1" style="54" min="40" max="40"/>
    <col width="7.796875" customWidth="1" style="54" min="41" max="41"/>
    <col width="8" customWidth="1" style="54" min="42" max="42"/>
  </cols>
  <sheetData>
    <row r="1" ht="31.95" customHeight="1" s="54">
      <c r="A1" s="66" t="inlineStr">
        <is>
          <t>公司名称</t>
        </is>
      </c>
    </row>
    <row r="2" ht="24" customHeight="1" s="54">
      <c r="A2" s="67" t="inlineStr">
        <is>
          <t>型材组装件报价计算（自动增行版）</t>
        </is>
      </c>
    </row>
    <row r="3" ht="30" customHeight="1" s="54">
      <c r="A3" s="56" t="inlineStr">
        <is>
          <t>材料按净长度、kg/m、标准料长和排料利用率取整；加工按切断、钻孔、攻牙、连接件和装配计价。报价结果位置与加工件一致。</t>
        </is>
      </c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  <c r="AI3" s="83" t="n"/>
      <c r="AJ3" s="83" t="n"/>
      <c r="AK3" s="83" t="n"/>
      <c r="AL3" s="83" t="n"/>
      <c r="AM3" s="83" t="n"/>
      <c r="AN3" s="83" t="n"/>
      <c r="AO3" s="83" t="n"/>
      <c r="AP3" s="83" t="n"/>
    </row>
    <row r="4">
      <c r="A4" s="58" t="inlineStr">
        <is>
          <t>基本信息</t>
        </is>
      </c>
      <c r="B4" s="84" t="n"/>
      <c r="C4" s="84" t="n"/>
      <c r="D4" s="85" t="n"/>
      <c r="E4" s="58" t="inlineStr">
        <is>
          <t>型材采购</t>
        </is>
      </c>
      <c r="F4" s="84" t="n"/>
      <c r="G4" s="84" t="n"/>
      <c r="H4" s="84" t="n"/>
      <c r="I4" s="84" t="n"/>
      <c r="J4" s="84" t="n"/>
      <c r="K4" s="84" t="n"/>
      <c r="L4" s="84" t="n"/>
      <c r="M4" s="85" t="n"/>
      <c r="N4" s="59" t="inlineStr">
        <is>
          <t>切割/机加/装配输入</t>
        </is>
      </c>
      <c r="O4" s="84" t="n"/>
      <c r="P4" s="84" t="n"/>
      <c r="Q4" s="84" t="n"/>
      <c r="R4" s="84" t="n"/>
      <c r="S4" s="84" t="n"/>
      <c r="T4" s="84" t="n"/>
      <c r="U4" s="84" t="n"/>
      <c r="V4" s="84" t="n"/>
      <c r="W4" s="84" t="n"/>
      <c r="X4" s="84" t="n"/>
      <c r="Y4" s="84" t="n"/>
      <c r="Z4" s="84" t="n"/>
      <c r="AA4" s="84" t="n"/>
      <c r="AB4" s="84" t="n"/>
      <c r="AC4" s="84" t="n"/>
      <c r="AD4" s="84" t="n"/>
      <c r="AE4" s="85" t="n"/>
      <c r="AF4" s="60" t="inlineStr">
        <is>
          <t>报价结果</t>
        </is>
      </c>
      <c r="AG4" s="84" t="n"/>
      <c r="AH4" s="84" t="n"/>
      <c r="AI4" s="84" t="n"/>
      <c r="AJ4" s="84" t="n"/>
      <c r="AK4" s="85" t="n"/>
      <c r="AL4" s="61" t="inlineStr">
        <is>
          <t>人工复核</t>
        </is>
      </c>
      <c r="AM4" s="85" t="n"/>
      <c r="AO4" s="65" t="inlineStr">
        <is>
          <t>报价对比</t>
        </is>
      </c>
      <c r="AP4" s="85" t="n"/>
    </row>
    <row r="5" ht="14.4" customHeight="1" s="54">
      <c r="A5" s="64" t="inlineStr">
        <is>
          <t>采购支数=向上取整[批次净长度÷(标准料长×排料利用率)]；不可回用余料由当前订单承担。超出表格末行时继续输入即可自动增加。；差价=AI预估未税−厂商报价(未税)，正值表示AI预估较高。</t>
        </is>
      </c>
    </row>
    <row r="6" ht="48" customHeight="1" s="54">
      <c r="A6" s="4" t="inlineStr">
        <is>
          <t>序号</t>
        </is>
      </c>
      <c r="B6" s="4" t="inlineStr">
        <is>
          <t>专案代码</t>
        </is>
      </c>
      <c r="C6" s="4" t="inlineStr">
        <is>
          <t>产品图号</t>
        </is>
      </c>
      <c r="D6" s="4" t="inlineStr">
        <is>
          <t>材质</t>
        </is>
      </c>
      <c r="E6" s="4" t="inlineStr">
        <is>
          <t>材料单价</t>
        </is>
      </c>
      <c r="F6" s="4" t="inlineStr">
        <is>
          <t>密度</t>
        </is>
      </c>
      <c r="G6" s="4" t="inlineStr">
        <is>
          <t>净长度m/套</t>
        </is>
      </c>
      <c r="H6" s="4" t="inlineStr">
        <is>
          <t>理论重量kg/m</t>
        </is>
      </c>
      <c r="I6" s="4" t="inlineStr">
        <is>
          <t>标准料长m/支</t>
        </is>
      </c>
      <c r="J6" s="4" t="inlineStr">
        <is>
          <t>排料利用率</t>
        </is>
      </c>
      <c r="K6" s="4" t="inlineStr">
        <is>
          <t>采购支数/批</t>
        </is>
      </c>
      <c r="L6" s="4" t="inlineStr">
        <is>
          <t>采购重量kg/套</t>
        </is>
      </c>
      <c r="M6" s="4" t="inlineStr">
        <is>
          <t>材料费</t>
        </is>
      </c>
      <c r="N6" s="4" t="inlineStr">
        <is>
          <t>切断数/套</t>
        </is>
      </c>
      <c r="O6" s="4" t="inlineStr">
        <is>
          <t>单刀分钟</t>
        </is>
      </c>
      <c r="P6" s="4" t="inlineStr">
        <is>
          <t>锯切准备h/批</t>
        </is>
      </c>
      <c r="Q6" s="4" t="inlineStr">
        <is>
          <t>锯切费/套</t>
        </is>
      </c>
      <c r="R6" s="4" t="inlineStr">
        <is>
          <t>钻孔数/套</t>
        </is>
      </c>
      <c r="S6" s="4" t="inlineStr">
        <is>
          <t>钻孔单孔分钟</t>
        </is>
      </c>
      <c r="T6" s="4" t="inlineStr">
        <is>
          <t>钻孔费/套</t>
        </is>
      </c>
      <c r="U6" s="4" t="inlineStr">
        <is>
          <t>攻牙数/套</t>
        </is>
      </c>
      <c r="V6" s="4" t="inlineStr">
        <is>
          <t>攻牙单孔分钟</t>
        </is>
      </c>
      <c r="W6" s="4" t="inlineStr">
        <is>
          <t>攻牙费/套</t>
        </is>
      </c>
      <c r="X6" s="4" t="inlineStr">
        <is>
          <t>连接件/套</t>
        </is>
      </c>
      <c r="Y6" s="4" t="inlineStr">
        <is>
          <t>紧固件/套</t>
        </is>
      </c>
      <c r="Z6" s="4" t="inlineStr">
        <is>
          <t>装配分钟/套</t>
        </is>
      </c>
      <c r="AA6" s="4" t="inlineStr">
        <is>
          <t>装配费/套</t>
        </is>
      </c>
      <c r="AB6" s="4" t="inlineStr">
        <is>
          <t>补充焊接分钟/套</t>
        </is>
      </c>
      <c r="AC6" s="4" t="inlineStr">
        <is>
          <t>焊接费/套</t>
        </is>
      </c>
      <c r="AD6" s="4" t="inlineStr">
        <is>
          <t>表处/外协/套</t>
        </is>
      </c>
      <c r="AE6" s="4" t="inlineStr">
        <is>
          <t>检验包装/套</t>
        </is>
      </c>
      <c r="AF6" s="4" t="inlineStr">
        <is>
          <t>税金</t>
        </is>
      </c>
      <c r="AG6" s="4" t="inlineStr">
        <is>
          <t>含税单价</t>
        </is>
      </c>
      <c r="AH6" s="4" t="inlineStr">
        <is>
          <t>数量</t>
        </is>
      </c>
      <c r="AI6" s="4" t="inlineStr">
        <is>
          <t>含税总价</t>
        </is>
      </c>
      <c r="AJ6" s="4" t="inlineStr">
        <is>
          <t>未税单价</t>
        </is>
      </c>
      <c r="AK6" s="4" t="inlineStr">
        <is>
          <t>厂商报价(未税)</t>
        </is>
      </c>
      <c r="AL6" s="4" t="inlineStr">
        <is>
          <t>复核状态</t>
        </is>
      </c>
      <c r="AM6" s="4" t="inlineStr">
        <is>
          <t>备注</t>
        </is>
      </c>
      <c r="AO6" s="72" t="inlineStr">
        <is>
          <t>差价</t>
        </is>
      </c>
      <c r="AP6" s="72" t="inlineStr">
        <is>
          <t>占比</t>
        </is>
      </c>
    </row>
    <row r="7" ht="28.05" customHeight="1" s="54">
      <c r="A7" s="41">
        <f>IF($C7="","",ROW()-6)</f>
        <v/>
      </c>
      <c r="B7" s="5" t="inlineStr">
        <is>
          <t>PROFILE</t>
        </is>
      </c>
      <c r="C7" s="5" t="inlineStr">
        <is>
          <t>PROFILE-EX-001</t>
        </is>
      </c>
      <c r="D7" s="5" t="inlineStr">
        <is>
          <t>A6061T6</t>
        </is>
      </c>
      <c r="E7" s="22">
        <f>IF($C7="","",IFERROR(VLOOKUP($D7,基础参数!$A$6:$C$22,2,FALSE),""))</f>
        <v/>
      </c>
      <c r="F7" s="23">
        <f>IF($C7="","",IFERROR(VLOOKUP($D7,基础参数!$A$6:$C$22,3,FALSE),""))</f>
        <v/>
      </c>
      <c r="G7" s="7" t="n">
        <v>5.6</v>
      </c>
      <c r="H7" s="7" t="n">
        <v>1.85</v>
      </c>
      <c r="I7" s="7" t="n">
        <v>6</v>
      </c>
      <c r="J7" s="91" t="n">
        <v>0.88</v>
      </c>
      <c r="K7" s="22">
        <f>IF($C7="","",IF($I7*$J7=0,"",ROUNDUP($AH7*$G7/($I7*$J7),0)))</f>
        <v/>
      </c>
      <c r="L7" s="22">
        <f>IF($C7="","",IF($AH7=0,"",$K7*$I7*$H7/$AH7))</f>
        <v/>
      </c>
      <c r="M7" s="22">
        <f>IF($C7="","",$L7*$E7)</f>
        <v/>
      </c>
      <c r="N7" s="39" t="n">
        <v>8</v>
      </c>
      <c r="O7" s="39" t="n">
        <v>0.45</v>
      </c>
      <c r="P7" s="39" t="n">
        <v>0.25</v>
      </c>
      <c r="Q7" s="22">
        <f>IF($C7="","",IF($AH7=0,"",($P7+$AH7*$N7*$O7/60)*VLOOKUP("PROFILE_SAW",基础参数!$F$6:$I$30,4,FALSE)/$AH7))</f>
        <v/>
      </c>
      <c r="R7" s="39" t="n">
        <v>12</v>
      </c>
      <c r="S7" s="39" t="n">
        <v>0.35</v>
      </c>
      <c r="T7" s="22">
        <f>IF($C7="","",$R7*$S7/60*VLOOKUP("PROFILE_DRILL",基础参数!$F$6:$I$30,4,FALSE))</f>
        <v/>
      </c>
      <c r="U7" s="39" t="n">
        <v>8</v>
      </c>
      <c r="V7" s="39" t="n">
        <v>0.4</v>
      </c>
      <c r="W7" s="22">
        <f>IF($C7="","",$U7*$V7/60*VLOOKUP("PROFILE_TAP",基础参数!$F$6:$I$30,4,FALSE))</f>
        <v/>
      </c>
      <c r="X7" s="39" t="n">
        <v>26</v>
      </c>
      <c r="Y7" s="39" t="n">
        <v>8</v>
      </c>
      <c r="Z7" s="39" t="n">
        <v>25</v>
      </c>
      <c r="AA7" s="22">
        <f>IF($C7="","",$Z7/60*VLOOKUP("PROFILE_ASSEMBLY",基础参数!$F$6:$I$30,4,FALSE))</f>
        <v/>
      </c>
      <c r="AB7" s="22" t="n">
        <v>0</v>
      </c>
      <c r="AC7" s="22">
        <f>IF($C7="","",$AB7/60*VLOOKUP("WELD",基础参数!$F$6:$I$30,4,FALSE))</f>
        <v/>
      </c>
      <c r="AD7" s="39" t="n">
        <v>35</v>
      </c>
      <c r="AE7" s="39" t="n">
        <v>5</v>
      </c>
      <c r="AF7" s="22">
        <f>IF($C7="","",$AJ7*基础参数!$N$6)</f>
        <v/>
      </c>
      <c r="AG7" s="22">
        <f>IF($C7="","",$AJ7+$AF7)</f>
        <v/>
      </c>
      <c r="AH7" s="30" t="n">
        <v>10</v>
      </c>
      <c r="AI7" s="22">
        <f>IF($C7="","",$AG7*$AH7)</f>
        <v/>
      </c>
      <c r="AJ7" s="22">
        <f>IF($C7="","",SUM($M7,$Q7,$T7,$W7:$Y7,$AA7,$AC7:$AE7)*(1+基础参数!$N$7))</f>
        <v/>
      </c>
      <c r="AK7" s="36" t="n"/>
      <c r="AL7" s="38" t="inlineStr">
        <is>
          <t>待复核</t>
        </is>
      </c>
      <c r="AM7" s="38" t="inlineStr">
        <is>
          <t>示例：6061工业铝型材框架；余料回用和装配精度需确认</t>
        </is>
      </c>
      <c r="AO7" s="73">
        <f>IF(OR($C7="",AK7=""),"",AJ7-AK7)</f>
        <v/>
      </c>
      <c r="AP7" s="86">
        <f>IFERROR(AO7/AJ7,"")</f>
        <v/>
      </c>
    </row>
    <row r="8" ht="28.05" customHeight="1" s="54">
      <c r="A8" s="41">
        <f>IF($C8="","",ROW()-6)</f>
        <v/>
      </c>
      <c r="B8" s="5" t="n"/>
      <c r="C8" s="5" t="n"/>
      <c r="D8" s="5" t="n"/>
      <c r="E8" s="22">
        <f>IF($C8="","",IFERROR(VLOOKUP($D8,基础参数!$A$6:$C$22,2,FALSE),""))</f>
        <v/>
      </c>
      <c r="F8" s="23">
        <f>IF($C8="","",IFERROR(VLOOKUP($D8,基础参数!$A$6:$C$22,3,FALSE),""))</f>
        <v/>
      </c>
      <c r="G8" s="7" t="n"/>
      <c r="H8" s="7" t="n"/>
      <c r="I8" s="7" t="n"/>
      <c r="J8" s="91" t="n"/>
      <c r="K8" s="22">
        <f>IF($C8="","",IF($I8*$J8=0,"",ROUNDUP($AH8*$G8/($I8*$J8),0)))</f>
        <v/>
      </c>
      <c r="L8" s="22">
        <f>IF($C8="","",IF($AH8=0,"",$K8*$I8*$H8/$AH8))</f>
        <v/>
      </c>
      <c r="M8" s="22">
        <f>IF($C8="","",$L8*$E8)</f>
        <v/>
      </c>
      <c r="N8" s="39" t="n"/>
      <c r="O8" s="39" t="n"/>
      <c r="P8" s="39" t="n"/>
      <c r="Q8" s="22">
        <f>IF($C8="","",IF($AH8=0,"",($P8+$AH8*$N8*$O8/60)*VLOOKUP("PROFILE_SAW",基础参数!$F$6:$I$30,4,FALSE)/$AH8))</f>
        <v/>
      </c>
      <c r="R8" s="39" t="n"/>
      <c r="S8" s="39" t="n"/>
      <c r="T8" s="22">
        <f>IF($C8="","",$R8*$S8/60*VLOOKUP("PROFILE_DRILL",基础参数!$F$6:$I$30,4,FALSE))</f>
        <v/>
      </c>
      <c r="U8" s="39" t="n"/>
      <c r="V8" s="39" t="n"/>
      <c r="W8" s="22">
        <f>IF($C8="","",$U8*$V8/60*VLOOKUP("PROFILE_TAP",基础参数!$F$6:$I$30,4,FALSE))</f>
        <v/>
      </c>
      <c r="X8" s="39" t="n"/>
      <c r="Y8" s="39" t="n"/>
      <c r="Z8" s="39" t="n"/>
      <c r="AA8" s="22">
        <f>IF($C8="","",$Z8/60*VLOOKUP("PROFILE_ASSEMBLY",基础参数!$F$6:$I$30,4,FALSE))</f>
        <v/>
      </c>
      <c r="AB8" s="22" t="n"/>
      <c r="AC8" s="22">
        <f>IF($C8="","",$AB8/60*VLOOKUP("WELD",基础参数!$F$6:$I$30,4,FALSE))</f>
        <v/>
      </c>
      <c r="AD8" s="39" t="n"/>
      <c r="AE8" s="39" t="n"/>
      <c r="AF8" s="22">
        <f>IF($C8="","",$AJ8*基础参数!$N$6)</f>
        <v/>
      </c>
      <c r="AG8" s="22">
        <f>IF($C8="","",$AJ8+$AF8)</f>
        <v/>
      </c>
      <c r="AH8" s="30" t="n"/>
      <c r="AI8" s="22">
        <f>IF($C8="","",$AG8*$AH8)</f>
        <v/>
      </c>
      <c r="AJ8" s="22">
        <f>IF($C8="","",SUM($M8,$Q8,$T8,$W8:$Y8,$AA8,$AC8:$AE8)*(1+基础参数!$N$7))</f>
        <v/>
      </c>
      <c r="AK8" s="36" t="n"/>
      <c r="AL8" s="38" t="n"/>
      <c r="AM8" s="38" t="n"/>
      <c r="AO8" s="73">
        <f>IF(OR($C8="",AK8=""),"",AJ8-AK8)</f>
        <v/>
      </c>
      <c r="AP8" s="86">
        <f>IFERROR(AO8/AJ8,"")</f>
        <v/>
      </c>
    </row>
    <row r="9" ht="28.05" customHeight="1" s="54">
      <c r="A9" s="41">
        <f>IF($C9="","",ROW()-6)</f>
        <v/>
      </c>
      <c r="B9" s="5" t="n"/>
      <c r="C9" s="5" t="n"/>
      <c r="D9" s="5" t="n"/>
      <c r="E9" s="22">
        <f>IF($C9="","",IFERROR(VLOOKUP($D9,基础参数!$A$6:$C$22,2,FALSE),""))</f>
        <v/>
      </c>
      <c r="F9" s="23">
        <f>IF($C9="","",IFERROR(VLOOKUP($D9,基础参数!$A$6:$C$22,3,FALSE),""))</f>
        <v/>
      </c>
      <c r="G9" s="7" t="n"/>
      <c r="H9" s="7" t="n"/>
      <c r="I9" s="7" t="n"/>
      <c r="J9" s="91" t="n"/>
      <c r="K9" s="22">
        <f>IF($C9="","",IF($I9*$J9=0,"",ROUNDUP($AH9*$G9/($I9*$J9),0)))</f>
        <v/>
      </c>
      <c r="L9" s="22">
        <f>IF($C9="","",IF($AH9=0,"",$K9*$I9*$H9/$AH9))</f>
        <v/>
      </c>
      <c r="M9" s="22">
        <f>IF($C9="","",$L9*$E9)</f>
        <v/>
      </c>
      <c r="N9" s="39" t="n"/>
      <c r="O9" s="39" t="n"/>
      <c r="P9" s="39" t="n"/>
      <c r="Q9" s="22">
        <f>IF($C9="","",IF($AH9=0,"",($P9+$AH9*$N9*$O9/60)*VLOOKUP("PROFILE_SAW",基础参数!$F$6:$I$30,4,FALSE)/$AH9))</f>
        <v/>
      </c>
      <c r="R9" s="39" t="n"/>
      <c r="S9" s="39" t="n"/>
      <c r="T9" s="22">
        <f>IF($C9="","",$R9*$S9/60*VLOOKUP("PROFILE_DRILL",基础参数!$F$6:$I$30,4,FALSE))</f>
        <v/>
      </c>
      <c r="U9" s="39" t="n"/>
      <c r="V9" s="39" t="n"/>
      <c r="W9" s="22">
        <f>IF($C9="","",$U9*$V9/60*VLOOKUP("PROFILE_TAP",基础参数!$F$6:$I$30,4,FALSE))</f>
        <v/>
      </c>
      <c r="X9" s="39" t="n"/>
      <c r="Y9" s="39" t="n"/>
      <c r="Z9" s="39" t="n"/>
      <c r="AA9" s="22">
        <f>IF($C9="","",$Z9/60*VLOOKUP("PROFILE_ASSEMBLY",基础参数!$F$6:$I$30,4,FALSE))</f>
        <v/>
      </c>
      <c r="AB9" s="22" t="n"/>
      <c r="AC9" s="22">
        <f>IF($C9="","",$AB9/60*VLOOKUP("WELD",基础参数!$F$6:$I$30,4,FALSE))</f>
        <v/>
      </c>
      <c r="AD9" s="39" t="n"/>
      <c r="AE9" s="39" t="n"/>
      <c r="AF9" s="22">
        <f>IF($C9="","",$AJ9*基础参数!$N$6)</f>
        <v/>
      </c>
      <c r="AG9" s="22">
        <f>IF($C9="","",$AJ9+$AF9)</f>
        <v/>
      </c>
      <c r="AH9" s="30" t="n"/>
      <c r="AI9" s="22">
        <f>IF($C9="","",$AG9*$AH9)</f>
        <v/>
      </c>
      <c r="AJ9" s="22">
        <f>IF($C9="","",SUM($M9,$Q9,$T9,$W9:$Y9,$AA9,$AC9:$AE9)*(1+基础参数!$N$7))</f>
        <v/>
      </c>
      <c r="AK9" s="36" t="n"/>
      <c r="AL9" s="38" t="n"/>
      <c r="AM9" s="38" t="n"/>
      <c r="AO9" s="73">
        <f>IF(OR($C9="",AK9=""),"",AJ9-AK9)</f>
        <v/>
      </c>
      <c r="AP9" s="86">
        <f>IFERROR(AO9/AJ9,"")</f>
        <v/>
      </c>
    </row>
    <row r="10" ht="28.05" customHeight="1" s="54">
      <c r="A10" s="41">
        <f>IF($C10="","",ROW()-6)</f>
        <v/>
      </c>
      <c r="B10" s="5" t="n"/>
      <c r="C10" s="5" t="n"/>
      <c r="D10" s="5" t="n"/>
      <c r="E10" s="22">
        <f>IF($C10="","",IFERROR(VLOOKUP($D10,基础参数!$A$6:$C$22,2,FALSE),""))</f>
        <v/>
      </c>
      <c r="F10" s="23">
        <f>IF($C10="","",IFERROR(VLOOKUP($D10,基础参数!$A$6:$C$22,3,FALSE),""))</f>
        <v/>
      </c>
      <c r="G10" s="7" t="n"/>
      <c r="H10" s="7" t="n"/>
      <c r="I10" s="7" t="n"/>
      <c r="J10" s="91" t="n"/>
      <c r="K10" s="22">
        <f>IF($C10="","",IF($I10*$J10=0,"",ROUNDUP($AH10*$G10/($I10*$J10),0)))</f>
        <v/>
      </c>
      <c r="L10" s="22">
        <f>IF($C10="","",IF($AH10=0,"",$K10*$I10*$H10/$AH10))</f>
        <v/>
      </c>
      <c r="M10" s="22">
        <f>IF($C10="","",$L10*$E10)</f>
        <v/>
      </c>
      <c r="N10" s="39" t="n"/>
      <c r="O10" s="39" t="n"/>
      <c r="P10" s="39" t="n"/>
      <c r="Q10" s="22">
        <f>IF($C10="","",IF($AH10=0,"",($P10+$AH10*$N10*$O10/60)*VLOOKUP("PROFILE_SAW",基础参数!$F$6:$I$30,4,FALSE)/$AH10))</f>
        <v/>
      </c>
      <c r="R10" s="39" t="n"/>
      <c r="S10" s="39" t="n"/>
      <c r="T10" s="22">
        <f>IF($C10="","",$R10*$S10/60*VLOOKUP("PROFILE_DRILL",基础参数!$F$6:$I$30,4,FALSE))</f>
        <v/>
      </c>
      <c r="U10" s="39" t="n"/>
      <c r="V10" s="39" t="n"/>
      <c r="W10" s="22">
        <f>IF($C10="","",$U10*$V10/60*VLOOKUP("PROFILE_TAP",基础参数!$F$6:$I$30,4,FALSE))</f>
        <v/>
      </c>
      <c r="X10" s="39" t="n"/>
      <c r="Y10" s="39" t="n"/>
      <c r="Z10" s="39" t="n"/>
      <c r="AA10" s="22">
        <f>IF($C10="","",$Z10/60*VLOOKUP("PROFILE_ASSEMBLY",基础参数!$F$6:$I$30,4,FALSE))</f>
        <v/>
      </c>
      <c r="AB10" s="22" t="n"/>
      <c r="AC10" s="22">
        <f>IF($C10="","",$AB10/60*VLOOKUP("WELD",基础参数!$F$6:$I$30,4,FALSE))</f>
        <v/>
      </c>
      <c r="AD10" s="39" t="n"/>
      <c r="AE10" s="39" t="n"/>
      <c r="AF10" s="22">
        <f>IF($C10="","",$AJ10*基础参数!$N$6)</f>
        <v/>
      </c>
      <c r="AG10" s="22">
        <f>IF($C10="","",$AJ10+$AF10)</f>
        <v/>
      </c>
      <c r="AH10" s="30" t="n"/>
      <c r="AI10" s="22">
        <f>IF($C10="","",$AG10*$AH10)</f>
        <v/>
      </c>
      <c r="AJ10" s="22">
        <f>IF($C10="","",SUM($M10,$Q10,$T10,$W10:$Y10,$AA10,$AC10:$AE10)*(1+基础参数!$N$7))</f>
        <v/>
      </c>
      <c r="AK10" s="36" t="n"/>
      <c r="AL10" s="38" t="n"/>
      <c r="AM10" s="38" t="n"/>
      <c r="AO10" s="73">
        <f>IF(OR($C10="",AK10=""),"",AJ10-AK10)</f>
        <v/>
      </c>
      <c r="AP10" s="86">
        <f>IFERROR(AO10/AJ10,"")</f>
        <v/>
      </c>
    </row>
    <row r="11" ht="28.05" customHeight="1" s="54">
      <c r="A11" s="41">
        <f>IF($C11="","",ROW()-6)</f>
        <v/>
      </c>
      <c r="B11" s="5" t="n"/>
      <c r="C11" s="5" t="n"/>
      <c r="D11" s="5" t="n"/>
      <c r="E11" s="22">
        <f>IF($C11="","",IFERROR(VLOOKUP($D11,基础参数!$A$6:$C$22,2,FALSE),""))</f>
        <v/>
      </c>
      <c r="F11" s="23">
        <f>IF($C11="","",IFERROR(VLOOKUP($D11,基础参数!$A$6:$C$22,3,FALSE),""))</f>
        <v/>
      </c>
      <c r="G11" s="7" t="n"/>
      <c r="H11" s="7" t="n"/>
      <c r="I11" s="7" t="n"/>
      <c r="J11" s="91" t="n"/>
      <c r="K11" s="22">
        <f>IF($C11="","",IF($I11*$J11=0,"",ROUNDUP($AH11*$G11/($I11*$J11),0)))</f>
        <v/>
      </c>
      <c r="L11" s="22">
        <f>IF($C11="","",IF($AH11=0,"",$K11*$I11*$H11/$AH11))</f>
        <v/>
      </c>
      <c r="M11" s="22">
        <f>IF($C11="","",$L11*$E11)</f>
        <v/>
      </c>
      <c r="N11" s="39" t="n"/>
      <c r="O11" s="39" t="n"/>
      <c r="P11" s="39" t="n"/>
      <c r="Q11" s="22">
        <f>IF($C11="","",IF($AH11=0,"",($P11+$AH11*$N11*$O11/60)*VLOOKUP("PROFILE_SAW",基础参数!$F$6:$I$30,4,FALSE)/$AH11))</f>
        <v/>
      </c>
      <c r="R11" s="39" t="n"/>
      <c r="S11" s="39" t="n"/>
      <c r="T11" s="22">
        <f>IF($C11="","",$R11*$S11/60*VLOOKUP("PROFILE_DRILL",基础参数!$F$6:$I$30,4,FALSE))</f>
        <v/>
      </c>
      <c r="U11" s="39" t="n"/>
      <c r="V11" s="39" t="n"/>
      <c r="W11" s="22">
        <f>IF($C11="","",$U11*$V11/60*VLOOKUP("PROFILE_TAP",基础参数!$F$6:$I$30,4,FALSE))</f>
        <v/>
      </c>
      <c r="X11" s="39" t="n"/>
      <c r="Y11" s="39" t="n"/>
      <c r="Z11" s="39" t="n"/>
      <c r="AA11" s="22">
        <f>IF($C11="","",$Z11/60*VLOOKUP("PROFILE_ASSEMBLY",基础参数!$F$6:$I$30,4,FALSE))</f>
        <v/>
      </c>
      <c r="AB11" s="22" t="n"/>
      <c r="AC11" s="22">
        <f>IF($C11="","",$AB11/60*VLOOKUP("WELD",基础参数!$F$6:$I$30,4,FALSE))</f>
        <v/>
      </c>
      <c r="AD11" s="39" t="n"/>
      <c r="AE11" s="39" t="n"/>
      <c r="AF11" s="22">
        <f>IF($C11="","",$AJ11*基础参数!$N$6)</f>
        <v/>
      </c>
      <c r="AG11" s="22">
        <f>IF($C11="","",$AJ11+$AF11)</f>
        <v/>
      </c>
      <c r="AH11" s="30" t="n"/>
      <c r="AI11" s="22">
        <f>IF($C11="","",$AG11*$AH11)</f>
        <v/>
      </c>
      <c r="AJ11" s="22">
        <f>IF($C11="","",SUM($M11,$Q11,$T11,$W11:$Y11,$AA11,$AC11:$AE11)*(1+基础参数!$N$7))</f>
        <v/>
      </c>
      <c r="AK11" s="36" t="n"/>
      <c r="AL11" s="38" t="n"/>
      <c r="AM11" s="38" t="n"/>
      <c r="AO11" s="73">
        <f>IF(OR($C11="",AK11=""),"",AJ11-AK11)</f>
        <v/>
      </c>
      <c r="AP11" s="86">
        <f>IFERROR(AO11/AJ11,"")</f>
        <v/>
      </c>
    </row>
    <row r="12" ht="28.05" customHeight="1" s="54">
      <c r="A12" s="41">
        <f>IF($C12="","",ROW()-6)</f>
        <v/>
      </c>
      <c r="B12" s="5" t="n"/>
      <c r="C12" s="5" t="n"/>
      <c r="D12" s="5" t="n"/>
      <c r="E12" s="22">
        <f>IF($C12="","",IFERROR(VLOOKUP($D12,基础参数!$A$6:$C$22,2,FALSE),""))</f>
        <v/>
      </c>
      <c r="F12" s="23">
        <f>IF($C12="","",IFERROR(VLOOKUP($D12,基础参数!$A$6:$C$22,3,FALSE),""))</f>
        <v/>
      </c>
      <c r="G12" s="7" t="n"/>
      <c r="H12" s="7" t="n"/>
      <c r="I12" s="7" t="n"/>
      <c r="J12" s="91" t="n"/>
      <c r="K12" s="22">
        <f>IF($C12="","",IF($I12*$J12=0,"",ROUNDUP($AH12*$G12/($I12*$J12),0)))</f>
        <v/>
      </c>
      <c r="L12" s="22">
        <f>IF($C12="","",IF($AH12=0,"",$K12*$I12*$H12/$AH12))</f>
        <v/>
      </c>
      <c r="M12" s="22">
        <f>IF($C12="","",$L12*$E12)</f>
        <v/>
      </c>
      <c r="N12" s="39" t="n"/>
      <c r="O12" s="39" t="n"/>
      <c r="P12" s="39" t="n"/>
      <c r="Q12" s="22">
        <f>IF($C12="","",IF($AH12=0,"",($P12+$AH12*$N12*$O12/60)*VLOOKUP("PROFILE_SAW",基础参数!$F$6:$I$30,4,FALSE)/$AH12))</f>
        <v/>
      </c>
      <c r="R12" s="39" t="n"/>
      <c r="S12" s="39" t="n"/>
      <c r="T12" s="22">
        <f>IF($C12="","",$R12*$S12/60*VLOOKUP("PROFILE_DRILL",基础参数!$F$6:$I$30,4,FALSE))</f>
        <v/>
      </c>
      <c r="U12" s="39" t="n"/>
      <c r="V12" s="39" t="n"/>
      <c r="W12" s="22">
        <f>IF($C12="","",$U12*$V12/60*VLOOKUP("PROFILE_TAP",基础参数!$F$6:$I$30,4,FALSE))</f>
        <v/>
      </c>
      <c r="X12" s="39" t="n"/>
      <c r="Y12" s="39" t="n"/>
      <c r="Z12" s="39" t="n"/>
      <c r="AA12" s="22">
        <f>IF($C12="","",$Z12/60*VLOOKUP("PROFILE_ASSEMBLY",基础参数!$F$6:$I$30,4,FALSE))</f>
        <v/>
      </c>
      <c r="AB12" s="22" t="n"/>
      <c r="AC12" s="22">
        <f>IF($C12="","",$AB12/60*VLOOKUP("WELD",基础参数!$F$6:$I$30,4,FALSE))</f>
        <v/>
      </c>
      <c r="AD12" s="39" t="n"/>
      <c r="AE12" s="39" t="n"/>
      <c r="AF12" s="22">
        <f>IF($C12="","",$AJ12*基础参数!$N$6)</f>
        <v/>
      </c>
      <c r="AG12" s="22">
        <f>IF($C12="","",$AJ12+$AF12)</f>
        <v/>
      </c>
      <c r="AH12" s="30" t="n"/>
      <c r="AI12" s="22">
        <f>IF($C12="","",$AG12*$AH12)</f>
        <v/>
      </c>
      <c r="AJ12" s="22">
        <f>IF($C12="","",SUM($M12,$Q12,$T12,$W12:$Y12,$AA12,$AC12:$AE12)*(1+基础参数!$N$7))</f>
        <v/>
      </c>
      <c r="AK12" s="36" t="n"/>
      <c r="AL12" s="38" t="n"/>
      <c r="AM12" s="38" t="n"/>
      <c r="AO12" s="73">
        <f>IF(OR($C12="",AK12=""),"",AJ12-AK12)</f>
        <v/>
      </c>
      <c r="AP12" s="86">
        <f>IFERROR(AO12/AJ12,"")</f>
        <v/>
      </c>
    </row>
  </sheetData>
  <mergeCells count="10">
    <mergeCell ref="N4:AE4"/>
    <mergeCell ref="AL4:AM4"/>
    <mergeCell ref="A1:AP1"/>
    <mergeCell ref="A5:AP5"/>
    <mergeCell ref="A4:D4"/>
    <mergeCell ref="A3:AP3"/>
    <mergeCell ref="A2:AP2"/>
    <mergeCell ref="AO4:AP4"/>
    <mergeCell ref="E4:M4"/>
    <mergeCell ref="AF4:AK4"/>
  </mergeCells>
  <dataValidations count="3">
    <dataValidation sqref="AH7:AH12" showDropDown="0" showInputMessage="0" showErrorMessage="0" allowBlank="0" type="whole" operator="greaterThanOrEqual">
      <formula1>1</formula1>
    </dataValidation>
    <dataValidation sqref="J7:J12" showDropDown="0" showInputMessage="0" showErrorMessage="0" allowBlank="0" type="decimal">
      <formula1>0.1</formula1>
      <formula2>1</formula2>
    </dataValidation>
    <dataValidation sqref="AL7:AL12" showDropDown="0" showInputMessage="0" showErrorMessage="0" allowBlank="0" type="list">
      <formula1>"无需复核,待复核,高风险"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O30"/>
  <sheetViews>
    <sheetView showGridLines="0" workbookViewId="0">
      <selection activeCell="A1" sqref="A1:O1"/>
    </sheetView>
  </sheetViews>
  <sheetFormatPr baseColWidth="8" defaultRowHeight="13.8"/>
  <cols>
    <col width="17" customWidth="1" style="54" min="1" max="1"/>
    <col width="16" customWidth="1" style="54" min="2" max="3"/>
    <col width="28" customWidth="1" style="54" min="4" max="4"/>
    <col width="3" customWidth="1" style="54" min="5" max="5"/>
    <col width="18" customWidth="1" style="54" min="6" max="6"/>
    <col width="15" customWidth="1" style="54" min="7" max="8"/>
    <col width="14" customWidth="1" style="54" min="9" max="10"/>
    <col width="3" customWidth="1" style="54" min="11" max="11"/>
    <col width="18" customWidth="1" style="54" min="12" max="14"/>
    <col width="39.59765625" customWidth="1" style="54" min="15" max="15"/>
  </cols>
  <sheetData>
    <row r="1" ht="31.95" customHeight="1" s="54">
      <c r="A1" s="53" t="inlineStr">
        <is>
          <t>公司名称</t>
        </is>
      </c>
    </row>
    <row r="2" ht="24" customHeight="1" s="54">
      <c r="A2" s="68" t="inlineStr">
        <is>
          <t>四类零件报价基础参数</t>
        </is>
      </c>
    </row>
    <row r="3" ht="30" customHeight="1" s="54">
      <c r="A3" s="69" t="inlineStr">
        <is>
          <t>材料价和加工件费率来自当前加工件模板；新增三类费率为评审初值。蓝色单元格均可修改，修改后各类别报价自动重算。</t>
        </is>
      </c>
      <c r="B3" s="83" t="n"/>
      <c r="C3" s="83" t="n"/>
      <c r="D3" s="83" t="n"/>
      <c r="E3" s="83" t="n"/>
      <c r="F3" s="83" t="n"/>
      <c r="G3" s="83" t="n"/>
      <c r="H3" s="83" t="n"/>
      <c r="I3" s="83" t="n"/>
      <c r="J3" s="83" t="n"/>
      <c r="K3" s="83" t="n"/>
      <c r="L3" s="83" t="n"/>
      <c r="M3" s="83" t="n"/>
      <c r="N3" s="83" t="n"/>
      <c r="O3" s="83" t="n"/>
    </row>
    <row r="4" ht="14.4" customHeight="1" s="54">
      <c r="A4" s="70" t="inlineStr">
        <is>
          <t>材料参数</t>
        </is>
      </c>
      <c r="B4" s="84" t="n"/>
      <c r="C4" s="84" t="n"/>
      <c r="D4" s="85" t="n"/>
      <c r="E4" s="1" t="n"/>
      <c r="F4" s="70" t="inlineStr">
        <is>
          <t>工序费率</t>
        </is>
      </c>
      <c r="G4" s="84" t="n"/>
      <c r="H4" s="84" t="n"/>
      <c r="I4" s="84" t="n"/>
      <c r="J4" s="85" t="n"/>
      <c r="K4" s="1" t="n"/>
      <c r="L4" s="70" t="inlineStr">
        <is>
          <t>通用报价参数</t>
        </is>
      </c>
      <c r="M4" s="84" t="n"/>
      <c r="N4" s="84" t="n"/>
      <c r="O4" s="85" t="n"/>
    </row>
    <row r="5" ht="14.4" customHeight="1" s="54">
      <c r="A5" s="2" t="inlineStr">
        <is>
          <t>材料代码</t>
        </is>
      </c>
      <c r="B5" s="2" t="inlineStr">
        <is>
          <t>材料单价(元/kg)</t>
        </is>
      </c>
      <c r="C5" s="2" t="inlineStr">
        <is>
          <t>密度(kg/mm³)</t>
        </is>
      </c>
      <c r="D5" s="2" t="inlineStr">
        <is>
          <t>来源/说明</t>
        </is>
      </c>
      <c r="E5" s="1" t="n"/>
      <c r="F5" s="2" t="inlineStr">
        <is>
          <t>工序代码</t>
        </is>
      </c>
      <c r="G5" s="2" t="inlineStr">
        <is>
          <t>类别</t>
        </is>
      </c>
      <c r="H5" s="2" t="inlineStr">
        <is>
          <t>工序名称</t>
        </is>
      </c>
      <c r="I5" s="2" t="inlineStr">
        <is>
          <t>费率</t>
        </is>
      </c>
      <c r="J5" s="2" t="inlineStr">
        <is>
          <t>单位</t>
        </is>
      </c>
      <c r="K5" s="1" t="n"/>
      <c r="L5" s="2" t="inlineStr">
        <is>
          <t>参数代码</t>
        </is>
      </c>
      <c r="M5" s="2" t="inlineStr">
        <is>
          <t>参数名称</t>
        </is>
      </c>
      <c r="N5" s="2" t="inlineStr">
        <is>
          <t>数值</t>
        </is>
      </c>
      <c r="O5" s="2" t="inlineStr">
        <is>
          <t>说明</t>
        </is>
      </c>
    </row>
    <row r="6" ht="14.4" customHeight="1" s="54">
      <c r="A6" s="3" t="inlineStr">
        <is>
          <t>S50C</t>
        </is>
      </c>
      <c r="B6" s="42" t="n">
        <v>6.5</v>
      </c>
      <c r="C6" s="43" t="n">
        <v>7.849999999999999e-06</v>
      </c>
      <c r="D6" s="3" t="inlineStr">
        <is>
          <t>当前加工件模板</t>
        </is>
      </c>
      <c r="E6" s="1" t="n"/>
      <c r="F6" s="3" t="inlineStr">
        <is>
          <t>LATHE</t>
        </is>
      </c>
      <c r="G6" s="3" t="inlineStr">
        <is>
          <t>加工件</t>
        </is>
      </c>
      <c r="H6" s="3" t="inlineStr">
        <is>
          <t>车床</t>
        </is>
      </c>
      <c r="I6" s="42" t="n">
        <v>50</v>
      </c>
      <c r="J6" s="3" t="inlineStr">
        <is>
          <t>元/h</t>
        </is>
      </c>
      <c r="K6" s="1" t="n"/>
      <c r="L6" s="3" t="inlineStr">
        <is>
          <t>tax_rate</t>
        </is>
      </c>
      <c r="M6" s="3" t="inlineStr">
        <is>
          <t>税率</t>
        </is>
      </c>
      <c r="N6" s="93" t="n">
        <v>0.13</v>
      </c>
      <c r="O6" s="3" t="inlineStr">
        <is>
          <t>沿用当前加工件模板；正式报价前由财务确认</t>
        </is>
      </c>
    </row>
    <row r="7" ht="14.4" customHeight="1" s="54">
      <c r="A7" s="3" t="inlineStr">
        <is>
          <t>A6061T6</t>
        </is>
      </c>
      <c r="B7" s="42" t="n">
        <v>27</v>
      </c>
      <c r="C7" s="43" t="n">
        <v>2.75e-06</v>
      </c>
      <c r="D7" s="3" t="inlineStr">
        <is>
          <t>当前加工件模板</t>
        </is>
      </c>
      <c r="E7" s="1" t="n"/>
      <c r="F7" s="3" t="inlineStr">
        <is>
          <t>MILL</t>
        </is>
      </c>
      <c r="G7" s="3" t="inlineStr">
        <is>
          <t>加工件</t>
        </is>
      </c>
      <c r="H7" s="3" t="inlineStr">
        <is>
          <t>铣床</t>
        </is>
      </c>
      <c r="I7" s="42" t="n">
        <v>45</v>
      </c>
      <c r="J7" s="3" t="inlineStr">
        <is>
          <t>元/h</t>
        </is>
      </c>
      <c r="K7" s="1" t="n"/>
      <c r="L7" s="3" t="inlineStr">
        <is>
          <t>quote_markup</t>
        </is>
      </c>
      <c r="M7" s="3" t="inlineStr">
        <is>
          <t>综合加成率</t>
        </is>
      </c>
      <c r="N7" s="93" t="n">
        <v>0</v>
      </c>
      <c r="O7" s="3" t="inlineStr">
        <is>
          <t>默认0%，保持与加工件模板一致；可用于管理费/利润</t>
        </is>
      </c>
    </row>
    <row r="8" ht="14.4" customHeight="1" s="54">
      <c r="A8" s="3" t="inlineStr">
        <is>
          <t>鋁</t>
        </is>
      </c>
      <c r="B8" s="42" t="n">
        <v>25</v>
      </c>
      <c r="C8" s="43" t="n">
        <v>2.75e-06</v>
      </c>
      <c r="D8" s="3" t="inlineStr">
        <is>
          <t>当前加工件模板</t>
        </is>
      </c>
      <c r="E8" s="1" t="n"/>
      <c r="F8" s="3" t="inlineStr">
        <is>
          <t>GRIND</t>
        </is>
      </c>
      <c r="G8" s="3" t="inlineStr">
        <is>
          <t>加工件</t>
        </is>
      </c>
      <c r="H8" s="3" t="inlineStr">
        <is>
          <t>磨床</t>
        </is>
      </c>
      <c r="I8" s="42" t="n">
        <v>45</v>
      </c>
      <c r="J8" s="3" t="inlineStr">
        <is>
          <t>元/h</t>
        </is>
      </c>
      <c r="K8" s="1" t="n"/>
      <c r="L8" s="3" t="inlineStr">
        <is>
          <t>summary_rows</t>
        </is>
      </c>
      <c r="M8" s="3" t="inlineStr">
        <is>
          <t>汇总预留行数</t>
        </is>
      </c>
      <c r="N8" s="45" t="n">
        <v>500</v>
      </c>
      <c r="O8" s="3" t="inlineStr">
        <is>
          <t>统一汇总统计第7～506行</t>
        </is>
      </c>
    </row>
    <row r="9" ht="14.4" customHeight="1" s="54">
      <c r="A9" s="3" t="inlineStr">
        <is>
          <t>电木A級</t>
        </is>
      </c>
      <c r="B9" s="42" t="n">
        <v>23</v>
      </c>
      <c r="C9" s="43" t="n">
        <v>1.6e-06</v>
      </c>
      <c r="D9" s="3" t="inlineStr">
        <is>
          <t>当前加工件模板</t>
        </is>
      </c>
      <c r="E9" s="1" t="n"/>
      <c r="F9" s="3" t="inlineStr">
        <is>
          <t>FITTER</t>
        </is>
      </c>
      <c r="G9" s="3" t="inlineStr">
        <is>
          <t>加工件</t>
        </is>
      </c>
      <c r="H9" s="3" t="inlineStr">
        <is>
          <t>钳工</t>
        </is>
      </c>
      <c r="I9" s="42" t="n">
        <v>35</v>
      </c>
      <c r="J9" s="3" t="inlineStr">
        <is>
          <t>元/h</t>
        </is>
      </c>
      <c r="K9" s="1" t="n"/>
      <c r="L9" s="3" t="inlineStr">
        <is>
          <t>source_template</t>
        </is>
      </c>
      <c r="M9" s="3" t="inlineStr">
        <is>
          <t>源模板</t>
        </is>
      </c>
      <c r="N9" s="3" t="inlineStr">
        <is>
          <t>lfaF_cost_template.xlsx</t>
        </is>
      </c>
      <c r="O9" s="3" t="inlineStr">
        <is>
          <t>用户指定的加工件计算方式</t>
        </is>
      </c>
    </row>
    <row r="10" ht="14.4" customHeight="1" s="54">
      <c r="A10" s="3" t="inlineStr">
        <is>
          <t>電木B級</t>
        </is>
      </c>
      <c r="B10" s="42" t="n">
        <v>18</v>
      </c>
      <c r="C10" s="43" t="n">
        <v>1.6e-06</v>
      </c>
      <c r="D10" s="3" t="inlineStr">
        <is>
          <t>当前加工件模板</t>
        </is>
      </c>
      <c r="E10" s="1" t="n"/>
      <c r="F10" s="3" t="inlineStr">
        <is>
          <t>OTHER</t>
        </is>
      </c>
      <c r="G10" s="3" t="inlineStr">
        <is>
          <t>加工件</t>
        </is>
      </c>
      <c r="H10" s="3" t="inlineStr">
        <is>
          <t>其它</t>
        </is>
      </c>
      <c r="I10" s="42" t="n">
        <v>30</v>
      </c>
      <c r="J10" s="3" t="inlineStr">
        <is>
          <t>元/h</t>
        </is>
      </c>
      <c r="K10" s="1" t="n"/>
      <c r="L10" s="1" t="n"/>
      <c r="M10" s="1" t="n"/>
      <c r="N10" s="1" t="n"/>
      <c r="O10" s="1" t="n"/>
    </row>
    <row r="11" ht="14.4" customHeight="1" s="54">
      <c r="A11" s="3" t="inlineStr">
        <is>
          <t>4Cr13</t>
        </is>
      </c>
      <c r="B11" s="42" t="n">
        <v>23</v>
      </c>
      <c r="C11" s="43" t="n">
        <v>7.900000000000001e-06</v>
      </c>
      <c r="D11" s="3" t="inlineStr">
        <is>
          <t>当前加工件模板</t>
        </is>
      </c>
      <c r="E11" s="1" t="n"/>
      <c r="F11" s="3" t="inlineStr">
        <is>
          <t>EDM</t>
        </is>
      </c>
      <c r="G11" s="3" t="inlineStr">
        <is>
          <t>加工件</t>
        </is>
      </c>
      <c r="H11" s="3" t="inlineStr">
        <is>
          <t>放电</t>
        </is>
      </c>
      <c r="I11" s="42" t="n">
        <v>40</v>
      </c>
      <c r="J11" s="3" t="inlineStr">
        <is>
          <t>元/h</t>
        </is>
      </c>
      <c r="K11" s="1" t="n"/>
      <c r="L11" s="1" t="n"/>
      <c r="M11" s="1" t="n"/>
      <c r="N11" s="1" t="n"/>
      <c r="O11" s="1" t="n"/>
    </row>
    <row r="12" ht="14.4" customHeight="1" s="54">
      <c r="A12" s="3" t="inlineStr">
        <is>
          <t>亚克力</t>
        </is>
      </c>
      <c r="B12" s="42" t="n">
        <v>28</v>
      </c>
      <c r="C12" s="43" t="n">
        <v>1.2e-06</v>
      </c>
      <c r="D12" s="3" t="inlineStr">
        <is>
          <t>当前加工件模板</t>
        </is>
      </c>
      <c r="E12" s="1" t="n"/>
      <c r="F12" s="3" t="inlineStr">
        <is>
          <t>WIRE_FAST</t>
        </is>
      </c>
      <c r="G12" s="3" t="inlineStr">
        <is>
          <t>加工件</t>
        </is>
      </c>
      <c r="H12" s="3" t="inlineStr">
        <is>
          <t>快丝</t>
        </is>
      </c>
      <c r="I12" s="42" t="n">
        <v>25</v>
      </c>
      <c r="J12" s="3" t="inlineStr">
        <is>
          <t>元/h</t>
        </is>
      </c>
      <c r="K12" s="1" t="n"/>
      <c r="L12" s="1" t="n"/>
      <c r="M12" s="1" t="n"/>
      <c r="N12" s="1" t="n"/>
      <c r="O12" s="1" t="n"/>
    </row>
    <row r="13" ht="14.4" customHeight="1" s="54">
      <c r="A13" s="3" t="inlineStr">
        <is>
          <t>铍铜</t>
        </is>
      </c>
      <c r="B13" s="42" t="n">
        <v>280</v>
      </c>
      <c r="C13" s="43" t="n">
        <v>8.3e-06</v>
      </c>
      <c r="D13" s="3" t="inlineStr">
        <is>
          <t>当前加工件模板</t>
        </is>
      </c>
      <c r="E13" s="1" t="n"/>
      <c r="F13" s="3" t="inlineStr">
        <is>
          <t>WIRE_SLOW</t>
        </is>
      </c>
      <c r="G13" s="3" t="inlineStr">
        <is>
          <t>加工件</t>
        </is>
      </c>
      <c r="H13" s="3" t="inlineStr">
        <is>
          <t>慢丝</t>
        </is>
      </c>
      <c r="I13" s="42" t="n">
        <v>70</v>
      </c>
      <c r="J13" s="3" t="inlineStr">
        <is>
          <t>元/h</t>
        </is>
      </c>
      <c r="K13" s="1" t="n"/>
      <c r="L13" s="1" t="n"/>
      <c r="M13" s="1" t="n"/>
      <c r="N13" s="1" t="n"/>
      <c r="O13" s="1" t="n"/>
    </row>
    <row r="14" ht="14.4" customHeight="1" s="54">
      <c r="A14" s="3" t="inlineStr">
        <is>
          <t>黃銅</t>
        </is>
      </c>
      <c r="B14" s="42" t="n">
        <v>50</v>
      </c>
      <c r="C14" s="43" t="n">
        <v>8.899999999999999e-06</v>
      </c>
      <c r="D14" s="3" t="inlineStr">
        <is>
          <t>当前加工件模板</t>
        </is>
      </c>
      <c r="E14" s="1" t="n"/>
      <c r="F14" s="3" t="inlineStr">
        <is>
          <t>ENGRAVE</t>
        </is>
      </c>
      <c r="G14" s="3" t="inlineStr">
        <is>
          <t>加工件</t>
        </is>
      </c>
      <c r="H14" s="3" t="inlineStr">
        <is>
          <t>精雕机</t>
        </is>
      </c>
      <c r="I14" s="42" t="n">
        <v>40</v>
      </c>
      <c r="J14" s="3" t="inlineStr">
        <is>
          <t>元/h</t>
        </is>
      </c>
      <c r="K14" s="1" t="n"/>
      <c r="L14" s="1" t="n"/>
      <c r="M14" s="1" t="n"/>
      <c r="N14" s="1" t="n"/>
      <c r="O14" s="1" t="n"/>
    </row>
    <row r="15" ht="14.4" customHeight="1" s="54">
      <c r="A15" s="3" t="inlineStr">
        <is>
          <t>H13</t>
        </is>
      </c>
      <c r="B15" s="42" t="n">
        <v>50</v>
      </c>
      <c r="C15" s="43" t="n">
        <v>7.900000000000001e-06</v>
      </c>
      <c r="D15" s="3" t="inlineStr">
        <is>
          <t>当前加工件模板</t>
        </is>
      </c>
      <c r="E15" s="1" t="n"/>
      <c r="F15" s="3" t="inlineStr">
        <is>
          <t>CNC</t>
        </is>
      </c>
      <c r="G15" s="3" t="inlineStr">
        <is>
          <t>加工件</t>
        </is>
      </c>
      <c r="H15" s="3" t="inlineStr">
        <is>
          <t>CNC</t>
        </is>
      </c>
      <c r="I15" s="42" t="n">
        <v>60</v>
      </c>
      <c r="J15" s="3" t="inlineStr">
        <is>
          <t>元/h</t>
        </is>
      </c>
      <c r="K15" s="1" t="n"/>
      <c r="L15" s="1" t="n"/>
      <c r="M15" s="1" t="n"/>
      <c r="N15" s="1" t="n"/>
      <c r="O15" s="1" t="n"/>
    </row>
    <row r="16" ht="14.4" customHeight="1" s="54">
      <c r="A16" s="3" t="inlineStr">
        <is>
          <t>鋼S136H</t>
        </is>
      </c>
      <c r="B16" s="42" t="n">
        <v>120</v>
      </c>
      <c r="C16" s="43" t="n">
        <v>7.900000000000001e-06</v>
      </c>
      <c r="D16" s="3" t="inlineStr">
        <is>
          <t>当前加工件模板</t>
        </is>
      </c>
      <c r="E16" s="1" t="n"/>
      <c r="F16" s="3" t="inlineStr">
        <is>
          <t>CHROME</t>
        </is>
      </c>
      <c r="G16" s="3" t="inlineStr">
        <is>
          <t>加工件</t>
        </is>
      </c>
      <c r="H16" s="3" t="inlineStr">
        <is>
          <t>镀铬</t>
        </is>
      </c>
      <c r="I16" s="42" t="n">
        <v>3</v>
      </c>
      <c r="J16" s="3" t="inlineStr">
        <is>
          <t>元/kg</t>
        </is>
      </c>
      <c r="K16" s="1" t="n"/>
      <c r="L16" s="1" t="n"/>
      <c r="M16" s="1" t="n"/>
      <c r="N16" s="1" t="n"/>
      <c r="O16" s="1" t="n"/>
    </row>
    <row r="17" ht="14.4" customHeight="1" s="54">
      <c r="A17" s="3" t="inlineStr">
        <is>
          <t>鋼S136</t>
        </is>
      </c>
      <c r="B17" s="42" t="n">
        <v>60</v>
      </c>
      <c r="C17" s="43" t="n">
        <v>7.900000000000001e-06</v>
      </c>
      <c r="D17" s="3" t="inlineStr">
        <is>
          <t>当前加工件模板</t>
        </is>
      </c>
      <c r="E17" s="1" t="n"/>
      <c r="F17" s="3" t="inlineStr">
        <is>
          <t>HEAT</t>
        </is>
      </c>
      <c r="G17" s="3" t="inlineStr">
        <is>
          <t>加工件</t>
        </is>
      </c>
      <c r="H17" s="3" t="inlineStr">
        <is>
          <t>热处理</t>
        </is>
      </c>
      <c r="I17" s="42" t="n">
        <v>12</v>
      </c>
      <c r="J17" s="3" t="inlineStr">
        <is>
          <t>元/kg</t>
        </is>
      </c>
      <c r="K17" s="1" t="n"/>
      <c r="L17" s="1" t="n"/>
      <c r="M17" s="1" t="n"/>
      <c r="N17" s="1" t="n"/>
      <c r="O17" s="1" t="n"/>
    </row>
    <row r="18" ht="14.4" customHeight="1" s="54">
      <c r="A18" s="3" t="inlineStr">
        <is>
          <t>鐵</t>
        </is>
      </c>
      <c r="B18" s="42" t="n">
        <v>6.5</v>
      </c>
      <c r="C18" s="43" t="n">
        <v>7.849999999999999e-06</v>
      </c>
      <c r="D18" s="3" t="inlineStr">
        <is>
          <t>当前加工件模板</t>
        </is>
      </c>
      <c r="E18" s="1" t="n"/>
      <c r="F18" s="3" t="inlineStr">
        <is>
          <t>ANODIZE</t>
        </is>
      </c>
      <c r="G18" s="3" t="inlineStr">
        <is>
          <t>加工件</t>
        </is>
      </c>
      <c r="H18" s="3" t="inlineStr">
        <is>
          <t>阳极</t>
        </is>
      </c>
      <c r="I18" s="42" t="n">
        <v>12</v>
      </c>
      <c r="J18" s="3" t="inlineStr">
        <is>
          <t>元/kg</t>
        </is>
      </c>
      <c r="K18" s="1" t="n"/>
      <c r="L18" s="1" t="n"/>
      <c r="M18" s="1" t="n"/>
      <c r="N18" s="1" t="n"/>
      <c r="O18" s="1" t="n"/>
    </row>
    <row r="19" ht="14.4" customHeight="1" s="54">
      <c r="A19" s="3" t="inlineStr">
        <is>
          <t>Q235</t>
        </is>
      </c>
      <c r="B19" s="42" t="n">
        <v>6.5</v>
      </c>
      <c r="C19" s="43" t="n">
        <v>7.849999999999999e-06</v>
      </c>
      <c r="D19" s="3" t="inlineStr">
        <is>
          <t>新增示例，须按采购价校准</t>
        </is>
      </c>
      <c r="E19" s="1" t="n"/>
      <c r="F19" s="3" t="inlineStr">
        <is>
          <t>BLACK</t>
        </is>
      </c>
      <c r="G19" s="3" t="inlineStr">
        <is>
          <t>加工件</t>
        </is>
      </c>
      <c r="H19" s="3" t="inlineStr">
        <is>
          <t>发黑</t>
        </is>
      </c>
      <c r="I19" s="42" t="n">
        <v>2</v>
      </c>
      <c r="J19" s="3" t="inlineStr">
        <is>
          <t>元/kg</t>
        </is>
      </c>
      <c r="K19" s="1" t="n"/>
      <c r="L19" s="1" t="n"/>
      <c r="M19" s="1" t="n"/>
      <c r="N19" s="1" t="n"/>
      <c r="O19" s="1" t="n"/>
    </row>
    <row r="20" ht="14.4" customHeight="1" s="54">
      <c r="A20" s="3" t="inlineStr">
        <is>
          <t>SUS304</t>
        </is>
      </c>
      <c r="B20" s="42" t="n">
        <v>18</v>
      </c>
      <c r="C20" s="43" t="n">
        <v>7.93e-06</v>
      </c>
      <c r="D20" s="3" t="inlineStr">
        <is>
          <t>新增示例，须按采购价校准</t>
        </is>
      </c>
      <c r="E20" s="1" t="n"/>
      <c r="F20" s="3" t="inlineStr">
        <is>
          <t>SM_LASER</t>
        </is>
      </c>
      <c r="G20" s="3" t="inlineStr">
        <is>
          <t>钣金件</t>
        </is>
      </c>
      <c r="H20" s="3" t="inlineStr">
        <is>
          <t>激光切割</t>
        </is>
      </c>
      <c r="I20" s="42" t="n">
        <v>220</v>
      </c>
      <c r="J20" s="3" t="inlineStr">
        <is>
          <t>元/h</t>
        </is>
      </c>
      <c r="K20" s="1" t="n"/>
      <c r="L20" s="1" t="n"/>
      <c r="M20" s="1" t="n"/>
      <c r="N20" s="1" t="n"/>
      <c r="O20" s="1" t="n"/>
    </row>
    <row r="21" ht="14.4" customHeight="1" s="54">
      <c r="A21" s="3" t="inlineStr">
        <is>
          <t>SUS316</t>
        </is>
      </c>
      <c r="B21" s="42" t="n">
        <v>28</v>
      </c>
      <c r="C21" s="43" t="n">
        <v>7.98e-06</v>
      </c>
      <c r="D21" s="3" t="inlineStr">
        <is>
          <t>新增示例，须按采购价校准</t>
        </is>
      </c>
      <c r="E21" s="1" t="n"/>
      <c r="F21" s="3" t="inlineStr">
        <is>
          <t>SM_BEND</t>
        </is>
      </c>
      <c r="G21" s="3" t="inlineStr">
        <is>
          <t>钣金件</t>
        </is>
      </c>
      <c r="H21" s="3" t="inlineStr">
        <is>
          <t>折弯</t>
        </is>
      </c>
      <c r="I21" s="42" t="n">
        <v>140</v>
      </c>
      <c r="J21" s="3" t="inlineStr">
        <is>
          <t>元/h</t>
        </is>
      </c>
      <c r="K21" s="1" t="n"/>
      <c r="L21" s="1" t="n"/>
      <c r="M21" s="1" t="n"/>
      <c r="N21" s="1" t="n"/>
      <c r="O21" s="1" t="n"/>
    </row>
    <row r="22" ht="14.4" customHeight="1" s="54">
      <c r="A22" s="3" t="inlineStr">
        <is>
          <t>镀锌板</t>
        </is>
      </c>
      <c r="B22" s="42" t="n">
        <v>8</v>
      </c>
      <c r="C22" s="43" t="n">
        <v>7.849999999999999e-06</v>
      </c>
      <c r="D22" s="3" t="inlineStr">
        <is>
          <t>新增示例，须按采购价校准</t>
        </is>
      </c>
      <c r="E22" s="1" t="n"/>
      <c r="F22" s="3" t="inlineStr">
        <is>
          <t>SM_MANUAL</t>
        </is>
      </c>
      <c r="G22" s="3" t="inlineStr">
        <is>
          <t>钣金件</t>
        </is>
      </c>
      <c r="H22" s="3" t="inlineStr">
        <is>
          <t>去毛刺/压铆/手工</t>
        </is>
      </c>
      <c r="I22" s="42" t="n">
        <v>70</v>
      </c>
      <c r="J22" s="3" t="inlineStr">
        <is>
          <t>元/h</t>
        </is>
      </c>
      <c r="K22" s="1" t="n"/>
      <c r="L22" s="1" t="n"/>
      <c r="M22" s="1" t="n"/>
      <c r="N22" s="1" t="n"/>
      <c r="O22" s="1" t="n"/>
    </row>
    <row r="23" ht="14.4" customHeight="1" s="54">
      <c r="A23" s="1" t="n"/>
      <c r="B23" s="1" t="n"/>
      <c r="C23" s="1" t="n"/>
      <c r="D23" s="1" t="n"/>
      <c r="E23" s="1" t="n"/>
      <c r="F23" s="3" t="inlineStr">
        <is>
          <t>WELD_PREP</t>
        </is>
      </c>
      <c r="G23" s="3" t="inlineStr">
        <is>
          <t>焊接件</t>
        </is>
      </c>
      <c r="H23" s="3" t="inlineStr">
        <is>
          <t>备料/坡口</t>
        </is>
      </c>
      <c r="I23" s="42" t="n">
        <v>90</v>
      </c>
      <c r="J23" s="3" t="inlineStr">
        <is>
          <t>元/h</t>
        </is>
      </c>
      <c r="K23" s="1" t="n"/>
      <c r="L23" s="1" t="n"/>
      <c r="M23" s="1" t="n"/>
      <c r="N23" s="1" t="n"/>
      <c r="O23" s="1" t="n"/>
    </row>
    <row r="24" ht="14.4" customHeight="1" s="54">
      <c r="A24" s="1" t="n"/>
      <c r="B24" s="1" t="n"/>
      <c r="C24" s="1" t="n"/>
      <c r="D24" s="1" t="n"/>
      <c r="E24" s="1" t="n"/>
      <c r="F24" s="3" t="inlineStr">
        <is>
          <t>WELD_FIT</t>
        </is>
      </c>
      <c r="G24" s="3" t="inlineStr">
        <is>
          <t>焊接件</t>
        </is>
      </c>
      <c r="H24" s="3" t="inlineStr">
        <is>
          <t>组立/点固</t>
        </is>
      </c>
      <c r="I24" s="42" t="n">
        <v>90</v>
      </c>
      <c r="J24" s="3" t="inlineStr">
        <is>
          <t>元/h</t>
        </is>
      </c>
      <c r="K24" s="1" t="n"/>
      <c r="L24" s="1" t="n"/>
      <c r="M24" s="1" t="n"/>
      <c r="N24" s="1" t="n"/>
      <c r="O24" s="1" t="n"/>
    </row>
    <row r="25" ht="14.4" customHeight="1" s="54">
      <c r="A25" s="1" t="n"/>
      <c r="B25" s="1" t="n"/>
      <c r="C25" s="1" t="n"/>
      <c r="D25" s="1" t="n"/>
      <c r="E25" s="1" t="n"/>
      <c r="F25" s="3" t="inlineStr">
        <is>
          <t>WELD</t>
        </is>
      </c>
      <c r="G25" s="3" t="inlineStr">
        <is>
          <t>焊接件</t>
        </is>
      </c>
      <c r="H25" s="3" t="inlineStr">
        <is>
          <t>焊接</t>
        </is>
      </c>
      <c r="I25" s="42" t="n">
        <v>120</v>
      </c>
      <c r="J25" s="3" t="inlineStr">
        <is>
          <t>元/h</t>
        </is>
      </c>
      <c r="K25" s="1" t="n"/>
      <c r="L25" s="1" t="n"/>
      <c r="M25" s="1" t="n"/>
      <c r="N25" s="1" t="n"/>
      <c r="O25" s="1" t="n"/>
    </row>
    <row r="26" ht="14.4" customHeight="1" s="54">
      <c r="A26" s="1" t="n"/>
      <c r="B26" s="1" t="n"/>
      <c r="C26" s="1" t="n"/>
      <c r="D26" s="1" t="n"/>
      <c r="E26" s="1" t="n"/>
      <c r="F26" s="3" t="inlineStr">
        <is>
          <t>WELD_POST</t>
        </is>
      </c>
      <c r="G26" s="3" t="inlineStr">
        <is>
          <t>焊接件</t>
        </is>
      </c>
      <c r="H26" s="3" t="inlineStr">
        <is>
          <t>打磨/校形</t>
        </is>
      </c>
      <c r="I26" s="42" t="n">
        <v>80</v>
      </c>
      <c r="J26" s="3" t="inlineStr">
        <is>
          <t>元/h</t>
        </is>
      </c>
      <c r="K26" s="1" t="n"/>
      <c r="L26" s="1" t="n"/>
      <c r="M26" s="1" t="n"/>
      <c r="N26" s="1" t="n"/>
      <c r="O26" s="1" t="n"/>
    </row>
    <row r="27" ht="14.4" customHeight="1" s="54">
      <c r="A27" s="1" t="n"/>
      <c r="B27" s="1" t="n"/>
      <c r="C27" s="1" t="n"/>
      <c r="D27" s="1" t="n"/>
      <c r="E27" s="1" t="n"/>
      <c r="F27" s="3" t="inlineStr">
        <is>
          <t>PROFILE_SAW</t>
        </is>
      </c>
      <c r="G27" s="3" t="inlineStr">
        <is>
          <t>型材组装件</t>
        </is>
      </c>
      <c r="H27" s="3" t="inlineStr">
        <is>
          <t>型材锯切</t>
        </is>
      </c>
      <c r="I27" s="42" t="n">
        <v>110</v>
      </c>
      <c r="J27" s="3" t="inlineStr">
        <is>
          <t>元/h</t>
        </is>
      </c>
      <c r="K27" s="1" t="n"/>
      <c r="L27" s="1" t="n"/>
      <c r="M27" s="1" t="n"/>
      <c r="N27" s="1" t="n"/>
      <c r="O27" s="1" t="n"/>
    </row>
    <row r="28" ht="14.4" customHeight="1" s="54">
      <c r="A28" s="1" t="n"/>
      <c r="B28" s="1" t="n"/>
      <c r="C28" s="1" t="n"/>
      <c r="D28" s="1" t="n"/>
      <c r="E28" s="1" t="n"/>
      <c r="F28" s="3" t="inlineStr">
        <is>
          <t>PROFILE_DRILL</t>
        </is>
      </c>
      <c r="G28" s="3" t="inlineStr">
        <is>
          <t>型材组装件</t>
        </is>
      </c>
      <c r="H28" s="3" t="inlineStr">
        <is>
          <t>钻孔</t>
        </is>
      </c>
      <c r="I28" s="42" t="n">
        <v>130</v>
      </c>
      <c r="J28" s="3" t="inlineStr">
        <is>
          <t>元/h</t>
        </is>
      </c>
      <c r="K28" s="1" t="n"/>
      <c r="L28" s="1" t="n"/>
      <c r="M28" s="1" t="n"/>
      <c r="N28" s="1" t="n"/>
      <c r="O28" s="1" t="n"/>
    </row>
    <row r="29" ht="14.4" customHeight="1" s="54">
      <c r="A29" s="1" t="n"/>
      <c r="B29" s="1" t="n"/>
      <c r="C29" s="1" t="n"/>
      <c r="D29" s="1" t="n"/>
      <c r="E29" s="1" t="n"/>
      <c r="F29" s="3" t="inlineStr">
        <is>
          <t>PROFILE_TAP</t>
        </is>
      </c>
      <c r="G29" s="3" t="inlineStr">
        <is>
          <t>型材组装件</t>
        </is>
      </c>
      <c r="H29" s="3" t="inlineStr">
        <is>
          <t>攻牙</t>
        </is>
      </c>
      <c r="I29" s="42" t="n">
        <v>120</v>
      </c>
      <c r="J29" s="3" t="inlineStr">
        <is>
          <t>元/h</t>
        </is>
      </c>
      <c r="K29" s="1" t="n"/>
      <c r="L29" s="1" t="n"/>
      <c r="M29" s="1" t="n"/>
      <c r="N29" s="1" t="n"/>
      <c r="O29" s="1" t="n"/>
    </row>
    <row r="30" ht="14.4" customHeight="1" s="54">
      <c r="A30" s="1" t="n"/>
      <c r="B30" s="1" t="n"/>
      <c r="C30" s="1" t="n"/>
      <c r="D30" s="1" t="n"/>
      <c r="E30" s="1" t="n"/>
      <c r="F30" s="3" t="inlineStr">
        <is>
          <t>PROFILE_ASSEMBLY</t>
        </is>
      </c>
      <c r="G30" s="3" t="inlineStr">
        <is>
          <t>型材组装件</t>
        </is>
      </c>
      <c r="H30" s="3" t="inlineStr">
        <is>
          <t>装配</t>
        </is>
      </c>
      <c r="I30" s="42" t="n">
        <v>85</v>
      </c>
      <c r="J30" s="3" t="inlineStr">
        <is>
          <t>元/h</t>
        </is>
      </c>
      <c r="K30" s="1" t="n"/>
      <c r="L30" s="1" t="n"/>
      <c r="M30" s="1" t="n"/>
      <c r="N30" s="1" t="n"/>
      <c r="O30" s="1" t="n"/>
    </row>
  </sheetData>
  <mergeCells count="6">
    <mergeCell ref="A2:O2"/>
    <mergeCell ref="A4:D4"/>
    <mergeCell ref="L4:O4"/>
    <mergeCell ref="A1:O1"/>
    <mergeCell ref="A3:O3"/>
    <mergeCell ref="F4:J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2026-10-13T03:09:50Z</dcterms:created>
  <dcterms:modified xmlns:dcterms="http://purl.org/dc/terms/" xmlns:xsi="http://www.w3.org/2001/XMLSchema-instance" xsi:type="dcterms:W3CDTF">2026-10-13T03:11:13Z</dcterms:modified>
  <cp:lastModifiedBy>1</cp:lastModifiedBy>
</cp:coreProperties>
</file>